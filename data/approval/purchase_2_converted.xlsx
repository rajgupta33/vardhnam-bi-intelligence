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e38f8119b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22ebdf7dbd93445e"/>
    <x:sheet xmlns:r="http://schemas.openxmlformats.org/officeDocument/2006/relationships" name="Voucher_Header" sheetId="2" r:id="Rf6ffc224e45d4806"/>
    <x:sheet xmlns:r="http://schemas.openxmlformats.org/officeDocument/2006/relationships" name="Item_Lines" sheetId="3" r:id="Ra49aacb289814829"/>
    <x:sheet xmlns:r="http://schemas.openxmlformats.org/officeDocument/2006/relationships" name="Raw_Extracted_Lines" sheetId="4" r:id="R930eae9ecfac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#,##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6FFFA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b671073bf4709" /><Relationship Type="http://schemas.openxmlformats.org/officeDocument/2006/relationships/theme" Target="/xl/theme/theme1.xml" Id="Rf1d5f5be818c4111" /><Relationship Type="http://schemas.openxmlformats.org/officeDocument/2006/relationships/sharedStrings" Target="/xl/sharedStrings.xml" Id="R986f60a9a9f9435d" /><Relationship Type="http://schemas.openxmlformats.org/officeDocument/2006/relationships/worksheet" Target="/xl/worksheets/sheet1.xml" Id="R22ebdf7dbd93445e" /><Relationship Type="http://schemas.openxmlformats.org/officeDocument/2006/relationships/worksheet" Target="/xl/worksheets/sheet2.xml" Id="Rf6ffc224e45d4806" /><Relationship Type="http://schemas.openxmlformats.org/officeDocument/2006/relationships/worksheet" Target="/xl/worksheets/sheet3.xml" Id="Ra49aacb289814829" /><Relationship Type="http://schemas.openxmlformats.org/officeDocument/2006/relationships/worksheet" Target="/xl/worksheets/sheet4.xml" Id="R930eae9ecfac40e4" /></Relationships>
</file>

<file path=xl/tables/table1.xml><?xml version="1.0" encoding="utf-8"?>
<x:table xmlns:x="http://schemas.openxmlformats.org/spreadsheetml/2006/main" id="1" name="purchase_2_pdf_Voucher" displayName="purchase_2_pdf_Voucher" ref="A1:J17" headerRowCount="1" totalsRowCount="0" totalsRowShown="0">
  <x:tableColumns count="10">
    <x:tableColumn id="1" name="voucher_id"/>
    <x:tableColumn id="2" name="page"/>
    <x:tableColumn id="3" name="date"/>
    <x:tableColumn id="4" name="date_original"/>
    <x:tableColumn id="5" name="party"/>
    <x:tableColumn id="6" name="vch_type"/>
    <x:tableColumn id="7" name="vch_no"/>
    <x:tableColumn id="8" name="voucher_amount"/>
    <x:tableColumn id="9" name="references"/>
    <x:tableColumn id="10" name="nar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_2_pdf_Items" displayName="purchase_2_pdf_Items" ref="A1:N22" headerRowCount="1" totalsRowCount="0" totalsRowShown="0">
  <x:tableColumns count="14">
    <x:tableColumn id="1" name="voucher_id"/>
    <x:tableColumn id="2" name="page"/>
    <x:tableColumn id="3" name="date"/>
    <x:tableColumn id="4" name="party"/>
    <x:tableColumn id="5" name="vch_type"/>
    <x:tableColumn id="6" name="vch_no"/>
    <x:tableColumn id="7" name="ledger"/>
    <x:tableColumn id="8" name="item_name"/>
    <x:tableColumn id="9" name="quantity"/>
    <x:tableColumn id="10" name="unit"/>
    <x:tableColumn id="11" name="rate"/>
    <x:tableColumn id="12" name="rate_unit"/>
    <x:tableColumn id="13" name="item_amount"/>
    <x:tableColumn id="14" name="raw_item_l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_2_pdf_Raw" displayName="purchase_2_pdf_Raw" ref="A1:C119" headerRowCount="1" totalsRowCount="0" totalsRowShown="0">
  <x:tableColumns count="3">
    <x:tableColumn id="1" name="page"/>
    <x:tableColumn id="2" name="line"/>
    <x:tableColumn id="3" name="raw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1fcefceb68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0989a61de42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eef9c9a0e0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</x:cols>
  <x:sheetData>
    <x:row r="1">
      <x:c r="A1" s="2" t="str">
        <x:v>Purchase Register Conversion Verification</x:v>
      </x:c>
    </x:row>
    <x:row r="3">
      <x:c r="A3" s="5" t="str">
        <x:v>Source file</x:v>
      </x:c>
      <x:c r="B3" s="3" t="str">
        <x:v>purchase(2).pdf</x:v>
      </x:c>
    </x:row>
    <x:row r="4">
      <x:c r="A4" s="5" t="str">
        <x:v>Report type</x:v>
      </x:c>
      <x:c r="B4" s="3" t="str">
        <x:v>Purchase Register</x:v>
      </x:c>
    </x:row>
    <x:row r="5">
      <x:c r="A5" s="5" t="str">
        <x:v>PDF pages extracted</x:v>
      </x:c>
      <x:c r="B5" s="3" t="n">
        <x:v>2</x:v>
      </x:c>
    </x:row>
    <x:row r="6">
      <x:c r="A6" s="5" t="str">
        <x:v>Voucher rows extracted</x:v>
      </x:c>
      <x:c r="B6" s="3" t="n">
        <x:f>COUNTA('Voucher_Header'!A2:A17)</x:f>
        <x:v>16</x:v>
      </x:c>
    </x:row>
    <x:row r="7">
      <x:c r="A7" s="5" t="str">
        <x:v>Item rows extracted</x:v>
      </x:c>
      <x:c r="B7" s="3" t="n">
        <x:f>COUNTA('Item_Lines'!A2:A22)</x:f>
        <x:v>21</x:v>
      </x:c>
    </x:row>
    <x:row r="8">
      <x:c r="A8" s="5" t="str">
        <x:v>PDF printed total</x:v>
      </x:c>
      <x:c r="B8" s="6" t="n">
        <x:v>12146428</x:v>
      </x:c>
    </x:row>
    <x:row r="9">
      <x:c r="A9" s="5" t="str">
        <x:v>Extracted voucher total</x:v>
      </x:c>
      <x:c r="B9" s="6" t="n">
        <x:f>SUM('Voucher_Header'!H2:H17)</x:f>
        <x:v>12146428</x:v>
      </x:c>
    </x:row>
    <x:row r="10">
      <x:c r="A10" s="5" t="str">
        <x:v>Difference</x:v>
      </x:c>
      <x:c r="B10" s="7" t="n">
        <x:f>B8-B9</x:f>
        <x:v>0</x:v>
      </x:c>
    </x:row>
    <x:row r="11">
      <x:c r="A11" s="5" t="str">
        <x:v>Extracted item total</x:v>
      </x:c>
      <x:c r="B11" s="6" t="n">
        <x:f>SUM('Item_Lines'!M2:M22)</x:f>
        <x:v>12146427.9</x:v>
      </x:c>
    </x:row>
    <x:row r="12">
      <x:c r="A12" s="5" t="str">
        <x:v>Item vs voucher difference</x:v>
      </x:c>
      <x:c r="B12" s="6" t="n">
        <x:f>B9-B11</x:f>
        <x:v>0.09999999962747097</x:v>
      </x:c>
    </x:row>
    <x:row r="14">
      <x:c r="A14" s="9" t="str">
        <x:v>How to verify</x:v>
      </x:c>
      <x:c r="B14" t="str"/>
      <x:c r="C14" t="str"/>
      <x:c r="D14" t="str"/>
      <x:c r="E14" t="str"/>
    </x:row>
    <x:row r="15">
      <x:c r="A15" s="3" t="str">
        <x:v>1</x:v>
      </x:c>
      <x:c r="B15" s="10" t="str">
        <x:v>Open the original PDF last page and note the printed Total.</x:v>
      </x:c>
      <x:c r="C15" s="10" t="str"/>
      <x:c r="D15" s="10" t="str"/>
      <x:c r="E15" s="10" t="str"/>
    </x:row>
    <x:row r="16">
      <x:c r="A16" s="3" t="str">
        <x:v>2</x:v>
      </x:c>
      <x:c r="B16" s="10" t="str">
        <x:v>Compare it with Extracted voucher total on this sheet.</x:v>
      </x:c>
      <x:c r="C16" s="10" t="str"/>
      <x:c r="D16" s="10" t="str"/>
      <x:c r="E16" s="10" t="str"/>
    </x:row>
    <x:row r="17">
      <x:c r="A17" s="3" t="str">
        <x:v>3</x:v>
      </x:c>
      <x:c r="B17" s="10" t="str">
        <x:v>Difference should be 0.00 for voucher-level extraction.</x:v>
      </x:c>
      <x:c r="C17" s="10" t="str"/>
      <x:c r="D17" s="10" t="str"/>
      <x:c r="E17" s="10" t="str"/>
    </x:row>
    <x:row r="18">
      <x:c r="A18" s="3" t="str">
        <x:v>4</x:v>
      </x:c>
      <x:c r="B18" s="10" t="str">
        <x:v>Use Voucher_Header for party/date/voucher-level dashboard totals.</x:v>
      </x:c>
      <x:c r="C18" s="10" t="str"/>
      <x:c r="D18" s="10" t="str"/>
      <x:c r="E18" s="10" t="str"/>
    </x:row>
    <x:row r="19">
      <x:c r="A19" s="3" t="str">
        <x:v>5</x:v>
      </x:c>
      <x:c r="B19" s="10" t="str">
        <x:v>Use Item_Lines for SKU/quantity/rate/item-level analysis.</x:v>
      </x:c>
      <x:c r="C19" s="10" t="str"/>
      <x:c r="D19" s="10" t="str"/>
      <x:c r="E19" s="10" t="str"/>
    </x:row>
  </x:sheetData>
  <x:mergeCells>
    <x:mergeCell ref="A1:F1"/>
    <x:mergeCell ref="A14:E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12.890000343322754" hidden="0" customWidth="1"/>
    <x:col min="5" max="5" width="36" hidden="0" customWidth="1"/>
    <x:col min="6" max="6" width="9.779999732971191" hidden="0" customWidth="1"/>
    <x:col min="7" max="7" width="8.4399995803833" hidden="0" customWidth="1"/>
    <x:col min="8" max="8" width="15.890000343322754" hidden="0" customWidth="1"/>
    <x:col min="9" max="9" width="55" hidden="0" customWidth="1"/>
    <x:col min="10" max="10" width="55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date_original</x:v>
      </x:c>
      <x:c r="E1" s="12" t="str">
        <x:v>party</x:v>
      </x:c>
      <x:c r="F1" s="12" t="str">
        <x:v>vch_type</x:v>
      </x:c>
      <x:c r="G1" s="12" t="str">
        <x:v>vch_no</x:v>
      </x:c>
      <x:c r="H1" s="12" t="str">
        <x:v>voucher_amount</x:v>
      </x:c>
      <x:c r="I1" s="12" t="str">
        <x:v>references</x:v>
      </x:c>
      <x:c r="J1" s="12" t="str">
        <x:v>narration</x:v>
      </x:c>
    </x:row>
    <x:row r="2" ht="15" hidden="0" customHeight="1">
      <x:c r="A2" s="3" t="n">
        <x:v>1</x:v>
      </x:c>
      <x:c r="B2" s="3" t="n">
        <x:v>1</x:v>
      </x:c>
      <x:c r="C2" s="13" t="n">
        <x:v>45769</x:v>
      </x:c>
      <x:c r="D2" s="3" t="str">
        <x:v>22-Apr-25</x:v>
      </x:c>
      <x:c r="E2" s="3" t="str">
        <x:v>Potarevena Ravinder</x:v>
      </x:c>
      <x:c r="F2" s="3" t="str">
        <x:v>Purchase</x:v>
      </x:c>
      <x:c r="G2" s="3" t="str">
        <x:v>1</x:v>
      </x:c>
      <x:c r="H2" s="6" t="n">
        <x:v>670400</x:v>
      </x:c>
      <x:c r="I2" s="10" t="str"/>
      <x:c r="J2" s="10" t="str">
        <x:v>Being purchase</x:v>
      </x:c>
    </x:row>
    <x:row r="3" ht="15" hidden="0" customHeight="1">
      <x:c r="A3" s="3" t="n">
        <x:v>2</x:v>
      </x:c>
      <x:c r="B3" s="3" t="n">
        <x:v>1</x:v>
      </x:c>
      <x:c r="C3" s="13" t="n">
        <x:v>45775</x:v>
      </x:c>
      <x:c r="D3" s="3" t="str">
        <x:v>28-Apr-25</x:v>
      </x:c>
      <x:c r="E3" s="3" t="str">
        <x:v>Potarevena Ravinder</x:v>
      </x:c>
      <x:c r="F3" s="3" t="str">
        <x:v>Purchase</x:v>
      </x:c>
      <x:c r="G3" s="3" t="str">
        <x:v>2</x:v>
      </x:c>
      <x:c r="H3" s="6" t="n">
        <x:v>713155</x:v>
      </x:c>
      <x:c r="I3" s="10" t="str"/>
      <x:c r="J3" s="10" t="str">
        <x:v>Being purchase.</x:v>
      </x:c>
    </x:row>
    <x:row r="4" ht="15" hidden="0" customHeight="1">
      <x:c r="A4" s="3" t="n">
        <x:v>3</x:v>
      </x:c>
      <x:c r="B4" s="3" t="n">
        <x:v>1</x:v>
      </x:c>
      <x:c r="C4" s="13" t="n">
        <x:v>45776</x:v>
      </x:c>
      <x:c r="D4" s="3" t="str">
        <x:v>29-Apr-25</x:v>
      </x:c>
      <x:c r="E4" s="3" t="str">
        <x:v>Potarevena Ravinder</x:v>
      </x:c>
      <x:c r="F4" s="3" t="str">
        <x:v>Purchase</x:v>
      </x:c>
      <x:c r="G4" s="3" t="str">
        <x:v>3</x:v>
      </x:c>
      <x:c r="H4" s="6" t="n">
        <x:v>2448000</x:v>
      </x:c>
      <x:c r="I4" s="10" t="str"/>
      <x:c r="J4" s="10" t="str">
        <x:v>Being purchase.</x:v>
      </x:c>
    </x:row>
    <x:row r="5" ht="15" hidden="0" customHeight="1">
      <x:c r="A5" s="3" t="n">
        <x:v>4</x:v>
      </x:c>
      <x:c r="B5" s="3" t="n">
        <x:v>1</x:v>
      </x:c>
      <x:c r="C5" s="13" t="n">
        <x:v>45783</x:v>
      </x:c>
      <x:c r="D5" s="3" t="str">
        <x:v>6-May-25</x:v>
      </x:c>
      <x:c r="E5" s="3" t="str">
        <x:v>Potarevena Ravinder</x:v>
      </x:c>
      <x:c r="F5" s="3" t="str">
        <x:v>Purchase</x:v>
      </x:c>
      <x:c r="G5" s="3" t="str">
        <x:v>4</x:v>
      </x:c>
      <x:c r="H5" s="6" t="n">
        <x:v>536640</x:v>
      </x:c>
      <x:c r="I5" s="10" t="str"/>
      <x:c r="J5" s="10" t="str">
        <x:v>Being purchase.</x:v>
      </x:c>
    </x:row>
    <x:row r="6" ht="15" hidden="0" customHeight="1">
      <x:c r="A6" s="3" t="n">
        <x:v>5</x:v>
      </x:c>
      <x:c r="B6" s="3" t="n">
        <x:v>1</x:v>
      </x:c>
      <x:c r="C6" s="13" t="n">
        <x:v>45785</x:v>
      </x:c>
      <x:c r="D6" s="3" t="str">
        <x:v>8-May-25</x:v>
      </x:c>
      <x:c r="E6" s="3" t="str">
        <x:v>Littles Agrivet Pvt Ltd..</x:v>
      </x:c>
      <x:c r="F6" s="3" t="str">
        <x:v>Purchase</x:v>
      </x:c>
      <x:c r="G6" s="3" t="str">
        <x:v>5</x:v>
      </x:c>
      <x:c r="H6" s="6" t="n">
        <x:v>35400</x:v>
      </x:c>
      <x:c r="I6" s="10" t="str"/>
      <x:c r="J6" s="10" t="str"/>
    </x:row>
    <x:row r="7" ht="15" hidden="0" customHeight="1">
      <x:c r="A7" s="3" t="n">
        <x:v>6</x:v>
      </x:c>
      <x:c r="B7" s="3" t="n">
        <x:v>1</x:v>
      </x:c>
      <x:c r="C7" s="13" t="n">
        <x:v>45786</x:v>
      </x:c>
      <x:c r="D7" s="3" t="str">
        <x:v>9-May-25</x:v>
      </x:c>
      <x:c r="E7" s="3" t="str">
        <x:v>Littles Agrivet Pvt Ltd..</x:v>
      </x:c>
      <x:c r="F7" s="3" t="str">
        <x:v>Purchase</x:v>
      </x:c>
      <x:c r="G7" s="3" t="str">
        <x:v>6</x:v>
      </x:c>
      <x:c r="H7" s="6" t="n">
        <x:v>99120</x:v>
      </x:c>
      <x:c r="I7" s="10" t="str"/>
      <x:c r="J7" s="10" t="str">
        <x:v>Being polymer purchase for Paddy.</x:v>
      </x:c>
    </x:row>
    <x:row r="8" ht="15" hidden="0" customHeight="1">
      <x:c r="A8" s="3" t="n">
        <x:v>7</x:v>
      </x:c>
      <x:c r="B8" s="3" t="n">
        <x:v>1</x:v>
      </x:c>
      <x:c r="C8" s="13" t="n">
        <x:v>45786</x:v>
      </x:c>
      <x:c r="D8" s="3" t="str">
        <x:v>9-May-25</x:v>
      </x:c>
      <x:c r="E8" s="3" t="str">
        <x:v>Littles Agrivet Pvt Ltd..</x:v>
      </x:c>
      <x:c r="F8" s="3" t="str">
        <x:v>Purchase</x:v>
      </x:c>
      <x:c r="G8" s="3" t="str">
        <x:v>7</x:v>
      </x:c>
      <x:c r="H8" s="6" t="n">
        <x:v>1770</x:v>
      </x:c>
      <x:c r="I8" s="10" t="str"/>
      <x:c r="J8" s="10" t="str">
        <x:v>Being treatment for pady purchase.</x:v>
      </x:c>
    </x:row>
    <x:row r="9" ht="15" hidden="0" customHeight="1">
      <x:c r="A9" s="3" t="n">
        <x:v>8</x:v>
      </x:c>
      <x:c r="B9" s="3" t="n">
        <x:v>1</x:v>
      </x:c>
      <x:c r="C9" s="13" t="n">
        <x:v>45787</x:v>
      </x:c>
      <x:c r="D9" s="3" t="str">
        <x:v>10-May-25</x:v>
      </x:c>
      <x:c r="E9" s="3" t="str">
        <x:v>Potarevena Ravinder</x:v>
      </x:c>
      <x:c r="F9" s="3" t="str">
        <x:v>Purchase</x:v>
      </x:c>
      <x:c r="G9" s="3" t="str">
        <x:v>8</x:v>
      </x:c>
      <x:c r="H9" s="6" t="n">
        <x:v>481760</x:v>
      </x:c>
      <x:c r="I9" s="10" t="str"/>
      <x:c r="J9" s="10" t="str">
        <x:v>Being purchase.</x:v>
      </x:c>
    </x:row>
    <x:row r="10" ht="15" hidden="0" customHeight="1">
      <x:c r="A10" s="3" t="n">
        <x:v>9</x:v>
      </x:c>
      <x:c r="B10" s="3" t="n">
        <x:v>1</x:v>
      </x:c>
      <x:c r="C10" s="13" t="n">
        <x:v>45793</x:v>
      </x:c>
      <x:c r="D10" s="3" t="str">
        <x:v>16-May-25</x:v>
      </x:c>
      <x:c r="E10" s="3" t="str">
        <x:v>Kesari Fibres Private Limited</x:v>
      </x:c>
      <x:c r="F10" s="3" t="str">
        <x:v>Purchase</x:v>
      </x:c>
      <x:c r="G10" s="3" t="str">
        <x:v>9</x:v>
      </x:c>
      <x:c r="H10" s="6" t="n">
        <x:v>166150</x:v>
      </x:c>
      <x:c r="I10" s="10" t="str"/>
      <x:c r="J10" s="10" t="str">
        <x:v>Being invoice no.382</x:v>
      </x:c>
    </x:row>
    <x:row r="11" ht="15" hidden="0" customHeight="1">
      <x:c r="A11" s="3" t="n">
        <x:v>10</x:v>
      </x:c>
      <x:c r="B11" s="3" t="n">
        <x:v>2</x:v>
      </x:c>
      <x:c r="C11" s="13" t="n">
        <x:v>45798</x:v>
      </x:c>
      <x:c r="D11" s="3" t="str">
        <x:v>21-May-25</x:v>
      </x:c>
      <x:c r="E11" s="3" t="str">
        <x:v>Victory Marvel Seeds</x:v>
      </x:c>
      <x:c r="F11" s="3" t="str">
        <x:v>Purchase</x:v>
      </x:c>
      <x:c r="G11" s="3" t="str">
        <x:v>10</x:v>
      </x:c>
      <x:c r="H11" s="6" t="n">
        <x:v>2961480</x:v>
      </x:c>
      <x:c r="I11" s="10" t="str">
        <x:v>New Ref 6 29,61,480.00 Cr</x:v>
      </x:c>
      <x:c r="J11" s="10" t="str">
        <x:v>Being stockpurchase.</x:v>
      </x:c>
    </x:row>
    <x:row r="12" ht="15" hidden="0" customHeight="1">
      <x:c r="A12" s="3" t="n">
        <x:v>11</x:v>
      </x:c>
      <x:c r="B12" s="3" t="n">
        <x:v>2</x:v>
      </x:c>
      <x:c r="C12" s="13" t="n">
        <x:v>45799</x:v>
      </x:c>
      <x:c r="D12" s="3" t="str">
        <x:v>22-May-25</x:v>
      </x:c>
      <x:c r="E12" s="3" t="str">
        <x:v>Littles Agrivet Pvt Ltd..</x:v>
      </x:c>
      <x:c r="F12" s="3" t="str">
        <x:v>Purchase</x:v>
      </x:c>
      <x:c r="G12" s="3" t="str">
        <x:v>11</x:v>
      </x:c>
      <x:c r="H12" s="6" t="n">
        <x:v>24780</x:v>
      </x:c>
      <x:c r="I12" s="10" t="str"/>
      <x:c r="J12" s="10" t="str">
        <x:v>Being purchase for paddy stock of etah.</x:v>
      </x:c>
    </x:row>
    <x:row r="13" ht="15" hidden="0" customHeight="1">
      <x:c r="A13" s="3" t="n">
        <x:v>12</x:v>
      </x:c>
      <x:c r="B13" s="3" t="n">
        <x:v>2</x:v>
      </x:c>
      <x:c r="C13" s="13" t="n">
        <x:v>45799</x:v>
      </x:c>
      <x:c r="D13" s="3" t="str">
        <x:v>22-May-25</x:v>
      </x:c>
      <x:c r="E13" s="3" t="str">
        <x:v>Littles Agrivet Pvt Ltd..</x:v>
      </x:c>
      <x:c r="F13" s="3" t="str">
        <x:v>Purchase</x:v>
      </x:c>
      <x:c r="G13" s="3" t="str">
        <x:v>12</x:v>
      </x:c>
      <x:c r="H13" s="6" t="n">
        <x:v>4425</x:v>
      </x:c>
      <x:c r="I13" s="10" t="str"/>
      <x:c r="J13" s="10" t="str">
        <x:v>Being purchase for paddy stock of etah.</x:v>
      </x:c>
    </x:row>
    <x:row r="14" ht="15" hidden="0" customHeight="1">
      <x:c r="A14" s="3" t="n">
        <x:v>13</x:v>
      </x:c>
      <x:c r="B14" s="3" t="n">
        <x:v>2</x:v>
      </x:c>
      <x:c r="C14" s="13" t="n">
        <x:v>45929</x:v>
      </x:c>
      <x:c r="D14" s="3" t="str">
        <x:v>29-Sep-25</x:v>
      </x:c>
      <x:c r="E14" s="3" t="str">
        <x:v>Kesari Fibres Private Limited</x:v>
      </x:c>
      <x:c r="F14" s="3" t="str">
        <x:v>Purchase</x:v>
      </x:c>
      <x:c r="G14" s="3" t="str">
        <x:v>13</x:v>
      </x:c>
      <x:c r="H14" s="6" t="n">
        <x:v>110200</x:v>
      </x:c>
      <x:c r="I14" s="10" t="str"/>
      <x:c r="J14" s="10" t="str">
        <x:v>Being wrong invoice.</x:v>
      </x:c>
    </x:row>
    <x:row r="15" ht="15" hidden="0" customHeight="1">
      <x:c r="A15" s="3" t="n">
        <x:v>14</x:v>
      </x:c>
      <x:c r="B15" s="3" t="n">
        <x:v>2</x:v>
      </x:c>
      <x:c r="C15" s="13" t="n">
        <x:v>46071</x:v>
      </x:c>
      <x:c r="D15" s="3" t="str">
        <x:v>18-Feb-26</x:v>
      </x:c>
      <x:c r="E15" s="3" t="str">
        <x:v>Coral Print Pack Pvt.Ltd.</x:v>
      </x:c>
      <x:c r="F15" s="3" t="str">
        <x:v>Purchase</x:v>
      </x:c>
      <x:c r="G15" s="3" t="str">
        <x:v>14</x:v>
      </x:c>
      <x:c r="H15" s="6" t="n">
        <x:v>144548</x:v>
      </x:c>
      <x:c r="I15" s="10" t="str"/>
      <x:c r="J15" s="10" t="str">
        <x:v>Being invoice no CPPL/25-26/3220.</x:v>
      </x:c>
    </x:row>
    <x:row r="16" ht="15" hidden="0" customHeight="1">
      <x:c r="A16" s="3" t="n">
        <x:v>15</x:v>
      </x:c>
      <x:c r="B16" s="3" t="n">
        <x:v>2</x:v>
      </x:c>
      <x:c r="C16" s="13" t="n">
        <x:v>46081</x:v>
      </x:c>
      <x:c r="D16" s="3" t="str">
        <x:v>28-Feb-26</x:v>
      </x:c>
      <x:c r="E16" s="3" t="str">
        <x:v>PVR SEEDS</x:v>
      </x:c>
      <x:c r="F16" s="3" t="str">
        <x:v>Purchase</x:v>
      </x:c>
      <x:c r="G16" s="3" t="str">
        <x:v>15</x:v>
      </x:c>
      <x:c r="H16" s="6" t="n">
        <x:v>3490200</x:v>
      </x:c>
      <x:c r="I16" s="10" t="str"/>
      <x:c r="J16" s="10" t="str">
        <x:v>Being 1 lot of 353 bgs received.</x:v>
      </x:c>
    </x:row>
    <x:row r="17" ht="15" hidden="0" customHeight="1">
      <x:c r="A17" s="3" t="n">
        <x:v>16</x:v>
      </x:c>
      <x:c r="B17" s="3" t="n">
        <x:v>2</x:v>
      </x:c>
      <x:c r="C17" s="13" t="n">
        <x:v>46095</x:v>
      </x:c>
      <x:c r="D17" s="3" t="str">
        <x:v>14-Mar-26</x:v>
      </x:c>
      <x:c r="E17" s="3" t="str">
        <x:v>Victory Marvel Seeds</x:v>
      </x:c>
      <x:c r="F17" s="3" t="str">
        <x:v>Purchase</x:v>
      </x:c>
      <x:c r="G17" s="3" t="str">
        <x:v>16</x:v>
      </x:c>
      <x:c r="H17" s="6" t="n">
        <x:v>258400</x:v>
      </x:c>
      <x:c r="I17" s="10" t="str">
        <x:v>New Ref 18 2,58,400.00 Cr</x:v>
      </x:c>
      <x:c r="J17" s="10" t="str">
        <x:v>Being invoice no.</x:v>
      </x:c>
    </x:row>
  </x:sheetData>
  <x:pageMargins left="0.7" right="0.7" top="0.75" bottom="0.75" header="0.3" footer="0.3"/>
  <x:tableParts count="1">
    <x:tablePart xmlns:r="http://schemas.openxmlformats.org/officeDocument/2006/relationships" r:id="R471fcefceb6841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6.559999942779541" hidden="0" customWidth="1"/>
    <x:col min="3" max="3" width="6.110000133514404" hidden="0" customWidth="1"/>
    <x:col min="4" max="4" width="36" hidden="0" customWidth="1"/>
    <x:col min="5" max="5" width="9.779999732971191" hidden="0" customWidth="1"/>
    <x:col min="6" max="6" width="8.4399995803833" hidden="0" customWidth="1"/>
    <x:col min="7" max="7" width="14.4399995803833" hidden="0" customWidth="1"/>
    <x:col min="8" max="8" width="42" hidden="0" customWidth="1"/>
    <x:col min="9" max="9" width="9" hidden="0" customWidth="1"/>
    <x:col min="10" max="10" width="5.670000076293945" hidden="0" customWidth="1"/>
    <x:col min="11" max="11" width="5.670000076293945" hidden="0" customWidth="1"/>
    <x:col min="12" max="12" width="9.5600004196167" hidden="0" customWidth="1"/>
    <x:col min="13" max="13" width="12.890000343322754" hidden="0" customWidth="1"/>
    <x:col min="14" max="14" width="70" hidden="0" customWidth="1"/>
  </x:cols>
  <x:sheetData>
    <x:row r="1" ht="15" hidden="0" customHeight="1">
      <x:c r="A1" s="12" t="str">
        <x:v>voucher_id</x:v>
      </x:c>
      <x:c r="B1" s="12" t="str">
        <x:v>page</x:v>
      </x:c>
      <x:c r="C1" s="12" t="str">
        <x:v>date</x:v>
      </x:c>
      <x:c r="D1" s="12" t="str">
        <x:v>party</x:v>
      </x:c>
      <x:c r="E1" s="12" t="str">
        <x:v>vch_type</x:v>
      </x:c>
      <x:c r="F1" s="12" t="str">
        <x:v>vch_no</x:v>
      </x:c>
      <x:c r="G1" s="12" t="str">
        <x:v>ledger</x:v>
      </x:c>
      <x:c r="H1" s="12" t="str">
        <x:v>item_name</x:v>
      </x:c>
      <x:c r="I1" s="12" t="str">
        <x:v>quantity</x:v>
      </x:c>
      <x:c r="J1" s="12" t="str">
        <x:v>unit</x:v>
      </x:c>
      <x:c r="K1" s="12" t="str">
        <x:v>rate</x:v>
      </x:c>
      <x:c r="L1" s="12" t="str">
        <x:v>rate_unit</x:v>
      </x:c>
      <x:c r="M1" s="12" t="str">
        <x:v>item_amount</x:v>
      </x:c>
      <x:c r="N1" s="12" t="str">
        <x:v>raw_item_line</x:v>
      </x:c>
    </x:row>
    <x:row r="2" ht="15" hidden="0" customHeight="1">
      <x:c r="A2" s="3" t="n">
        <x:v>1</x:v>
      </x:c>
      <x:c r="B2" s="3" t="n">
        <x:v>1</x:v>
      </x:c>
      <x:c r="C2" s="13" t="n">
        <x:v>45769</x:v>
      </x:c>
      <x:c r="D2" s="3" t="str">
        <x:v>Potarevena Ravinder</x:v>
      </x:c>
      <x:c r="E2" s="3" t="str">
        <x:v>Purchase</x:v>
      </x:c>
      <x:c r="F2" s="3" t="str">
        <x:v>1</x:v>
      </x:c>
      <x:c r="G2" s="3" t="str">
        <x:v>Purchase (URP)</x:v>
      </x:c>
      <x:c r="H2" s="3" t="str">
        <x:v>Paddy Sampurna</x:v>
      </x:c>
      <x:c r="I2" s="14" t="n">
        <x:v>20950</x:v>
      </x:c>
      <x:c r="J2" s="3" t="str">
        <x:v>KGS</x:v>
      </x:c>
      <x:c r="K2" s="6" t="n">
        <x:v>32</x:v>
      </x:c>
      <x:c r="L2" s="3" t="str">
        <x:v>KGS</x:v>
      </x:c>
      <x:c r="M2" s="6" t="n">
        <x:v>670400</x:v>
      </x:c>
      <x:c r="N2" s="3" t="str">
        <x:v>Paddy Sampurna 20,950.000 KGS 32.00/KGS 6,70,400.00</x:v>
      </x:c>
    </x:row>
    <x:row r="3" ht="15" hidden="0" customHeight="1">
      <x:c r="A3" s="3" t="n">
        <x:v>2</x:v>
      </x:c>
      <x:c r="B3" s="3" t="n">
        <x:v>1</x:v>
      </x:c>
      <x:c r="C3" s="13" t="n">
        <x:v>45775</x:v>
      </x:c>
      <x:c r="D3" s="3" t="str">
        <x:v>Potarevena Ravinder</x:v>
      </x:c>
      <x:c r="E3" s="3" t="str">
        <x:v>Purchase</x:v>
      </x:c>
      <x:c r="F3" s="3" t="str">
        <x:v>2</x:v>
      </x:c>
      <x:c r="G3" s="3" t="str">
        <x:v>Purchase (URP)</x:v>
      </x:c>
      <x:c r="H3" s="3" t="str">
        <x:v>Paddy Pb 1692</x:v>
      </x:c>
      <x:c r="I3" s="14" t="n">
        <x:v>16585</x:v>
      </x:c>
      <x:c r="J3" s="3" t="str">
        <x:v>KGS</x:v>
      </x:c>
      <x:c r="K3" s="6" t="n">
        <x:v>43</x:v>
      </x:c>
      <x:c r="L3" s="3" t="str">
        <x:v>KGS</x:v>
      </x:c>
      <x:c r="M3" s="6" t="n">
        <x:v>713155</x:v>
      </x:c>
      <x:c r="N3" s="3" t="str">
        <x:v>Paddy Pb 1692 16,585.000 KGS 43.00/KGS 7,13,155.00</x:v>
      </x:c>
    </x:row>
    <x:row r="4" ht="15" hidden="0" customHeight="1">
      <x:c r="A4" s="3" t="n">
        <x:v>3</x:v>
      </x:c>
      <x:c r="B4" s="3" t="n">
        <x:v>1</x:v>
      </x:c>
      <x:c r="C4" s="13" t="n">
        <x:v>45776</x:v>
      </x:c>
      <x:c r="D4" s="3" t="str">
        <x:v>Potarevena Ravinder</x:v>
      </x:c>
      <x:c r="E4" s="3" t="str">
        <x:v>Purchase</x:v>
      </x:c>
      <x:c r="F4" s="3" t="str">
        <x:v>3</x:v>
      </x:c>
      <x:c r="G4" s="3" t="str">
        <x:v>Purchase (URP)</x:v>
      </x:c>
      <x:c r="H4" s="3" t="str">
        <x:v>Paddy Taj</x:v>
      </x:c>
      <x:c r="I4" s="14" t="n">
        <x:v>14400</x:v>
      </x:c>
      <x:c r="J4" s="3" t="str">
        <x:v>KGS</x:v>
      </x:c>
      <x:c r="K4" s="6" t="n">
        <x:v>170</x:v>
      </x:c>
      <x:c r="L4" s="3" t="str">
        <x:v>KGS</x:v>
      </x:c>
      <x:c r="M4" s="6" t="n">
        <x:v>2448000</x:v>
      </x:c>
      <x:c r="N4" s="3" t="str">
        <x:v>Paddy Taj 14,400.000 KGS 170.00/KGS 24,48,000.00</x:v>
      </x:c>
    </x:row>
    <x:row r="5" ht="15" hidden="0" customHeight="1">
      <x:c r="A5" s="3" t="n">
        <x:v>4</x:v>
      </x:c>
      <x:c r="B5" s="3" t="n">
        <x:v>1</x:v>
      </x:c>
      <x:c r="C5" s="13" t="n">
        <x:v>45783</x:v>
      </x:c>
      <x:c r="D5" s="3" t="str">
        <x:v>Potarevena Ravinder</x:v>
      </x:c>
      <x:c r="E5" s="3" t="str">
        <x:v>Purchase</x:v>
      </x:c>
      <x:c r="F5" s="3" t="str">
        <x:v>4</x:v>
      </x:c>
      <x:c r="G5" s="3" t="str">
        <x:v>Purchase (URP)</x:v>
      </x:c>
      <x:c r="H5" s="3" t="str">
        <x:v>Paddy Pb 1692</x:v>
      </x:c>
      <x:c r="I5" s="14" t="n">
        <x:v>12480</x:v>
      </x:c>
      <x:c r="J5" s="3" t="str">
        <x:v>KGS</x:v>
      </x:c>
      <x:c r="K5" s="6" t="n">
        <x:v>43</x:v>
      </x:c>
      <x:c r="L5" s="3" t="str">
        <x:v>KGS</x:v>
      </x:c>
      <x:c r="M5" s="6" t="n">
        <x:v>536640</x:v>
      </x:c>
      <x:c r="N5" s="3" t="str">
        <x:v>Paddy Pb 1692 12,480.000 KGS 43.00/KGS 5,36,640.00</x:v>
      </x:c>
    </x:row>
    <x:row r="6" ht="15" hidden="0" customHeight="1">
      <x:c r="A6" s="3" t="n">
        <x:v>5</x:v>
      </x:c>
      <x:c r="B6" s="3" t="n">
        <x:v>1</x:v>
      </x:c>
      <x:c r="C6" s="13" t="n">
        <x:v>45785</x:v>
      </x:c>
      <x:c r="D6" s="3" t="str">
        <x:v>Littles Agrivet Pvt Ltd..</x:v>
      </x:c>
      <x:c r="E6" s="3" t="str">
        <x:v>Purchase</x:v>
      </x:c>
      <x:c r="F6" s="3" t="str">
        <x:v>5</x:v>
      </x:c>
      <x:c r="G6" s="3" t="str">
        <x:v>Purchase @ 18%</x:v>
      </x:c>
      <x:c r="H6" s="3" t="str">
        <x:v>Thairam</x:v>
      </x:c>
      <x:c r="I6" s="14" t="n">
        <x:v>120</x:v>
      </x:c>
      <x:c r="J6" s="3" t="str">
        <x:v>ltr.</x:v>
      </x:c>
      <x:c r="K6" s="6" t="n">
        <x:v>295</x:v>
      </x:c>
      <x:c r="L6" s="3" t="str">
        <x:v>ltr.</x:v>
      </x:c>
      <x:c r="M6" s="6" t="n">
        <x:v>35400</x:v>
      </x:c>
      <x:c r="N6" s="3" t="str">
        <x:v>Thairam 120 ltr. 295.00/ltr. 35,400.00</x:v>
      </x:c>
    </x:row>
    <x:row r="7" ht="15" hidden="0" customHeight="1">
      <x:c r="A7" s="3" t="n">
        <x:v>6</x:v>
      </x:c>
      <x:c r="B7" s="3" t="n">
        <x:v>1</x:v>
      </x:c>
      <x:c r="C7" s="13" t="n">
        <x:v>45786</x:v>
      </x:c>
      <x:c r="D7" s="3" t="str">
        <x:v>Littles Agrivet Pvt Ltd..</x:v>
      </x:c>
      <x:c r="E7" s="3" t="str">
        <x:v>Purchase</x:v>
      </x:c>
      <x:c r="F7" s="3" t="str">
        <x:v>6</x:v>
      </x:c>
      <x:c r="G7" s="3" t="str">
        <x:v>Purchase @ 18%</x:v>
      </x:c>
      <x:c r="H7" s="3" t="str">
        <x:v>Seed Caoting Polymer</x:v>
      </x:c>
      <x:c r="I7" s="14" t="n">
        <x:v>300</x:v>
      </x:c>
      <x:c r="J7" s="3" t="str">
        <x:v>ltr.</x:v>
      </x:c>
      <x:c r="K7" s="6" t="n">
        <x:v>330.4</x:v>
      </x:c>
      <x:c r="L7" s="3" t="str">
        <x:v>ltr.</x:v>
      </x:c>
      <x:c r="M7" s="6" t="n">
        <x:v>99120</x:v>
      </x:c>
      <x:c r="N7" s="3" t="str">
        <x:v>Seed Caoting Polymer 300 ltr. 330.40/ltr. 99,120.00</x:v>
      </x:c>
    </x:row>
    <x:row r="8" ht="15" hidden="0" customHeight="1">
      <x:c r="A8" s="3" t="n">
        <x:v>7</x:v>
      </x:c>
      <x:c r="B8" s="3" t="n">
        <x:v>1</x:v>
      </x:c>
      <x:c r="C8" s="13" t="n">
        <x:v>45786</x:v>
      </x:c>
      <x:c r="D8" s="3" t="str">
        <x:v>Littles Agrivet Pvt Ltd..</x:v>
      </x:c>
      <x:c r="E8" s="3" t="str">
        <x:v>Purchase</x:v>
      </x:c>
      <x:c r="F8" s="3" t="str">
        <x:v>7</x:v>
      </x:c>
      <x:c r="G8" s="3" t="str">
        <x:v>Purchase @ 18%</x:v>
      </x:c>
      <x:c r="H8" s="3" t="str">
        <x:v>DELTAMETHRIN 2.5% WP</x:v>
      </x:c>
      <x:c r="I8" s="14" t="n">
        <x:v>6</x:v>
      </x:c>
      <x:c r="J8" s="3" t="str">
        <x:v>KGS</x:v>
      </x:c>
      <x:c r="K8" s="6" t="n">
        <x:v>295</x:v>
      </x:c>
      <x:c r="L8" s="3" t="str">
        <x:v>KGS</x:v>
      </x:c>
      <x:c r="M8" s="6" t="n">
        <x:v>1770</x:v>
      </x:c>
      <x:c r="N8" s="3" t="str">
        <x:v>DELTAMETHRIN 2.5% WP 6.000 KGS 295.00/KGS 1,770.00</x:v>
      </x:c>
    </x:row>
    <x:row r="9" ht="15" hidden="0" customHeight="1">
      <x:c r="A9" s="3" t="n">
        <x:v>8</x:v>
      </x:c>
      <x:c r="B9" s="3" t="n">
        <x:v>1</x:v>
      </x:c>
      <x:c r="C9" s="13" t="n">
        <x:v>45787</x:v>
      </x:c>
      <x:c r="D9" s="3" t="str">
        <x:v>Potarevena Ravinder</x:v>
      </x:c>
      <x:c r="E9" s="3" t="str">
        <x:v>Purchase</x:v>
      </x:c>
      <x:c r="F9" s="3" t="str">
        <x:v>8</x:v>
      </x:c>
      <x:c r="G9" s="3" t="str">
        <x:v>Purchase (URP)</x:v>
      </x:c>
      <x:c r="H9" s="3" t="str">
        <x:v>Paddy (Aman)</x:v>
      </x:c>
      <x:c r="I9" s="14" t="n">
        <x:v>15055</x:v>
      </x:c>
      <x:c r="J9" s="3" t="str">
        <x:v>KGS</x:v>
      </x:c>
      <x:c r="K9" s="6" t="n">
        <x:v>32</x:v>
      </x:c>
      <x:c r="L9" s="3" t="str">
        <x:v>KGS</x:v>
      </x:c>
      <x:c r="M9" s="6" t="n">
        <x:v>481760</x:v>
      </x:c>
      <x:c r="N9" s="3" t="str">
        <x:v>Paddy (Aman) 15,055.000 KGS 32.00/KGS 4,81,760.00</x:v>
      </x:c>
    </x:row>
    <x:row r="10" ht="15" hidden="0" customHeight="1">
      <x:c r="A10" s="3" t="n">
        <x:v>9</x:v>
      </x:c>
      <x:c r="B10" s="3" t="n">
        <x:v>1</x:v>
      </x:c>
      <x:c r="C10" s="13" t="n">
        <x:v>45793</x:v>
      </x:c>
      <x:c r="D10" s="3" t="str">
        <x:v>Kesari Fibres Private Limited</x:v>
      </x:c>
      <x:c r="E10" s="3" t="str">
        <x:v>Purchase</x:v>
      </x:c>
      <x:c r="F10" s="3" t="str">
        <x:v>9</x:v>
      </x:c>
      <x:c r="G10" s="3" t="str">
        <x:v>Purchase @ 18%</x:v>
      </x:c>
      <x:c r="H10" s="3" t="str">
        <x:v>Paddy Pouch 6kg Blue</x:v>
      </x:c>
      <x:c r="I10" s="14" t="n">
        <x:v>4950</x:v>
      </x:c>
      <x:c r="J10" s="3" t="str">
        <x:v>Nos</x:v>
      </x:c>
      <x:c r="K10" s="6" t="n">
        <x:v>16.06</x:v>
      </x:c>
      <x:c r="L10" s="3" t="str">
        <x:v>Nos</x:v>
      </x:c>
      <x:c r="M10" s="6" t="n">
        <x:v>79497.45</x:v>
      </x:c>
      <x:c r="N10" s="3" t="str">
        <x:v>Paddy Pouch 6kg Blue 4,950 Nos 16.06/Nos 79,497.45</x:v>
      </x:c>
    </x:row>
    <x:row r="11" ht="15" hidden="0" customHeight="1">
      <x:c r="A11" s="3" t="n">
        <x:v>9</x:v>
      </x:c>
      <x:c r="B11" s="3" t="n">
        <x:v>1</x:v>
      </x:c>
      <x:c r="C11" s="13" t="n">
        <x:v>45793</x:v>
      </x:c>
      <x:c r="D11" s="3" t="str">
        <x:v>Kesari Fibres Private Limited</x:v>
      </x:c>
      <x:c r="E11" s="3" t="str">
        <x:v>Purchase</x:v>
      </x:c>
      <x:c r="F11" s="3" t="str">
        <x:v>9</x:v>
      </x:c>
      <x:c r="G11" s="3" t="str">
        <x:v>Purchase @ 18%</x:v>
      </x:c>
      <x:c r="H11" s="3" t="str">
        <x:v>Paddy Pouch 6kg Green</x:v>
      </x:c>
      <x:c r="I11" s="14" t="n">
        <x:v>5480</x:v>
      </x:c>
      <x:c r="J11" s="3" t="str">
        <x:v>Nos</x:v>
      </x:c>
      <x:c r="K11" s="6" t="n">
        <x:v>15.81</x:v>
      </x:c>
      <x:c r="L11" s="3" t="str">
        <x:v>Nos</x:v>
      </x:c>
      <x:c r="M11" s="6" t="n">
        <x:v>86652.45</x:v>
      </x:c>
      <x:c r="N11" s="3" t="str">
        <x:v>Paddy Pouch 6kg Green 5,480 Nos 15.81/Nos 86,652.45</x:v>
      </x:c>
    </x:row>
    <x:row r="12" ht="15" hidden="0" customHeight="1">
      <x:c r="A12" s="3" t="n">
        <x:v>10</x:v>
      </x:c>
      <x:c r="B12" s="3" t="n">
        <x:v>2</x:v>
      </x:c>
      <x:c r="C12" s="13" t="n">
        <x:v>45798</x:v>
      </x:c>
      <x:c r="D12" s="3" t="str">
        <x:v>Victory Marvel Seeds</x:v>
      </x:c>
      <x:c r="E12" s="3" t="str">
        <x:v>Purchase</x:v>
      </x:c>
      <x:c r="F12" s="3" t="str">
        <x:v>10</x:v>
      </x:c>
      <x:c r="G12" s="3" t="str">
        <x:v>Purchase (Exempt)</x:v>
      </x:c>
      <x:c r="H12" s="3" t="str">
        <x:v>Paddy Namo-369 (3 Kg*10 Pc)</x:v>
      </x:c>
      <x:c r="I12" s="14" t="n">
        <x:v>20010</x:v>
      </x:c>
      <x:c r="J12" s="3" t="str">
        <x:v>KGS</x:v>
      </x:c>
      <x:c r="K12" s="6" t="n">
        <x:v>148</x:v>
      </x:c>
      <x:c r="L12" s="3" t="str">
        <x:v>KGS</x:v>
      </x:c>
      <x:c r="M12" s="6" t="n">
        <x:v>2961480</x:v>
      </x:c>
      <x:c r="N12" s="3" t="str">
        <x:v>Paddy Namo-369 (3 Kg*10 Pc) 20,010.000 KGS 148.00/KGS 29,61,480.00</x:v>
      </x:c>
    </x:row>
    <x:row r="13" ht="15" hidden="0" customHeight="1">
      <x:c r="A13" s="3" t="n">
        <x:v>11</x:v>
      </x:c>
      <x:c r="B13" s="3" t="n">
        <x:v>2</x:v>
      </x:c>
      <x:c r="C13" s="13" t="n">
        <x:v>45799</x:v>
      </x:c>
      <x:c r="D13" s="3" t="str">
        <x:v>Littles Agrivet Pvt Ltd..</x:v>
      </x:c>
      <x:c r="E13" s="3" t="str">
        <x:v>Purchase</x:v>
      </x:c>
      <x:c r="F13" s="3" t="str">
        <x:v>11</x:v>
      </x:c>
      <x:c r="G13" s="3" t="str">
        <x:v>Purchase @ 18%</x:v>
      </x:c>
      <x:c r="H13" s="3" t="str">
        <x:v>Seed Caoting Polymer</x:v>
      </x:c>
      <x:c r="I13" s="14" t="n">
        <x:v>75</x:v>
      </x:c>
      <x:c r="J13" s="3" t="str">
        <x:v>ltr.</x:v>
      </x:c>
      <x:c r="K13" s="6" t="n">
        <x:v>330.4</x:v>
      </x:c>
      <x:c r="L13" s="3" t="str">
        <x:v>ltr.</x:v>
      </x:c>
      <x:c r="M13" s="6" t="n">
        <x:v>24780</x:v>
      </x:c>
      <x:c r="N13" s="3" t="str">
        <x:v>Seed Caoting Polymer 75 ltr. 330.40/ltr. 24,780.00</x:v>
      </x:c>
    </x:row>
    <x:row r="14" ht="15" hidden="0" customHeight="1">
      <x:c r="A14" s="3" t="n">
        <x:v>12</x:v>
      </x:c>
      <x:c r="B14" s="3" t="n">
        <x:v>2</x:v>
      </x:c>
      <x:c r="C14" s="13" t="n">
        <x:v>45799</x:v>
      </x:c>
      <x:c r="D14" s="3" t="str">
        <x:v>Littles Agrivet Pvt Ltd..</x:v>
      </x:c>
      <x:c r="E14" s="3" t="str">
        <x:v>Purchase</x:v>
      </x:c>
      <x:c r="F14" s="3" t="str">
        <x:v>12</x:v>
      </x:c>
      <x:c r="G14" s="3" t="str">
        <x:v>Purchase @ 18%</x:v>
      </x:c>
      <x:c r="H14" s="3" t="str">
        <x:v>DELTAMETHRIN 2.5% WP</x:v>
      </x:c>
      <x:c r="I14" s="14" t="n">
        <x:v>1</x:v>
      </x:c>
      <x:c r="J14" s="3" t="str">
        <x:v>KGS</x:v>
      </x:c>
      <x:c r="K14" s="6" t="n">
        <x:v>587.5</x:v>
      </x:c>
      <x:c r="L14" s="3" t="str">
        <x:v>KGS</x:v>
      </x:c>
      <x:c r="M14" s="6" t="n">
        <x:v>587.5</x:v>
      </x:c>
      <x:c r="N14" s="3" t="str">
        <x:v>DELTAMETHRIN 2.5% WP 1.000 KGS 587.50/KGS 587.50</x:v>
      </x:c>
    </x:row>
    <x:row r="15" ht="15" hidden="0" customHeight="1">
      <x:c r="A15" s="3" t="n">
        <x:v>12</x:v>
      </x:c>
      <x:c r="B15" s="3" t="n">
        <x:v>2</x:v>
      </x:c>
      <x:c r="C15" s="13" t="n">
        <x:v>45799</x:v>
      </x:c>
      <x:c r="D15" s="3" t="str">
        <x:v>Littles Agrivet Pvt Ltd..</x:v>
      </x:c>
      <x:c r="E15" s="3" t="str">
        <x:v>Purchase</x:v>
      </x:c>
      <x:c r="F15" s="3" t="str">
        <x:v>12</x:v>
      </x:c>
      <x:c r="G15" s="3" t="str">
        <x:v>Purchase @ 18%</x:v>
      </x:c>
      <x:c r="H15" s="3" t="str">
        <x:v>Carbendazim 12 %+Mancozeb 63%</x:v>
      </x:c>
      <x:c r="I15" s="14" t="n">
        <x:v>10</x:v>
      </x:c>
      <x:c r="J15" s="3" t="str">
        <x:v>KGS</x:v>
      </x:c>
      <x:c r="K15" s="6" t="n">
        <x:v>383.75</x:v>
      </x:c>
      <x:c r="L15" s="3" t="str">
        <x:v>KGS</x:v>
      </x:c>
      <x:c r="M15" s="6" t="n">
        <x:v>3837.5</x:v>
      </x:c>
      <x:c r="N15" s="3" t="str">
        <x:v>Carbendazim 12 %+Mancozeb 63% 10.000 KGS 383.75/KGS 3,837.50</x:v>
      </x:c>
    </x:row>
    <x:row r="16" ht="15" hidden="0" customHeight="1">
      <x:c r="A16" s="3" t="n">
        <x:v>13</x:v>
      </x:c>
      <x:c r="B16" s="3" t="n">
        <x:v>2</x:v>
      </x:c>
      <x:c r="C16" s="13" t="n">
        <x:v>45929</x:v>
      </x:c>
      <x:c r="D16" s="3" t="str">
        <x:v>Kesari Fibres Private Limited</x:v>
      </x:c>
      <x:c r="E16" s="3" t="str">
        <x:v>Purchase</x:v>
      </x:c>
      <x:c r="F16" s="3" t="str">
        <x:v>13</x:v>
      </x:c>
      <x:c r="G16" s="3" t="str">
        <x:v>Purchase @ 18%</x:v>
      </x:c>
      <x:c r="H16" s="3" t="str">
        <x:v>FB-PP/HDPP WOVEN SACKS</x:v>
      </x:c>
      <x:c r="I16" s="14" t="n">
        <x:v>5660</x:v>
      </x:c>
      <x:c r="J16" s="3" t="str">
        <x:v>Nos</x:v>
      </x:c>
      <x:c r="K16" s="6" t="n">
        <x:v>19.47</x:v>
      </x:c>
      <x:c r="L16" s="3" t="str">
        <x:v>Nos</x:v>
      </x:c>
      <x:c r="M16" s="6" t="n">
        <x:v>110200</x:v>
      </x:c>
      <x:c r="N16" s="3" t="str">
        <x:v>FB-PP/HDPP WOVEN SACKS 5,660 Nos 19.47/Nos 1,10,200.00</x:v>
      </x:c>
    </x:row>
    <x:row r="17" ht="15" hidden="0" customHeight="1">
      <x:c r="A17" s="3" t="n">
        <x:v>14</x:v>
      </x:c>
      <x:c r="B17" s="3" t="n">
        <x:v>2</x:v>
      </x:c>
      <x:c r="C17" s="13" t="n">
        <x:v>46071</x:v>
      </x:c>
      <x:c r="D17" s="3" t="str">
        <x:v>Coral Print Pack Pvt.Ltd.</x:v>
      </x:c>
      <x:c r="E17" s="3" t="str">
        <x:v>Purchase</x:v>
      </x:c>
      <x:c r="F17" s="3" t="str">
        <x:v>14</x:v>
      </x:c>
      <x:c r="G17" s="3" t="str">
        <x:v>Purchase @ 18%</x:v>
      </x:c>
      <x:c r="H17" s="3" t="str">
        <x:v>Printed Laminated Pouch (White King)</x:v>
      </x:c>
      <x:c r="I17" s="14" t="n">
        <x:v>13315</x:v>
      </x:c>
      <x:c r="J17" s="3" t="str">
        <x:v>Nos</x:v>
      </x:c>
      <x:c r="K17" s="6" t="n">
        <x:v>10.86</x:v>
      </x:c>
      <x:c r="L17" s="3" t="str">
        <x:v>Nos</x:v>
      </x:c>
      <x:c r="M17" s="6" t="n">
        <x:v>144548</x:v>
      </x:c>
      <x:c r="N17" s="3" t="str">
        <x:v>Printed Laminated Pouch (White King) 13,315 Nos 10.86/Nos 1,44,548.00</x:v>
      </x:c>
    </x:row>
    <x:row r="18" ht="15" hidden="0" customHeight="1">
      <x:c r="A18" s="3" t="n">
        <x:v>15</x:v>
      </x:c>
      <x:c r="B18" s="3" t="n">
        <x:v>2</x:v>
      </x:c>
      <x:c r="C18" s="13" t="n">
        <x:v>46081</x:v>
      </x:c>
      <x:c r="D18" s="3" t="str">
        <x:v>PVR SEEDS</x:v>
      </x:c>
      <x:c r="E18" s="3" t="str">
        <x:v>Purchase</x:v>
      </x:c>
      <x:c r="F18" s="3" t="str">
        <x:v>15</x:v>
      </x:c>
      <x:c r="G18" s="3" t="str">
        <x:v>Purchase (Exempt)</x:v>
      </x:c>
      <x:c r="H18" s="3" t="str">
        <x:v>Maize</x:v>
      </x:c>
      <x:c r="I18" s="14" t="n">
        <x:v>19390</x:v>
      </x:c>
      <x:c r="J18" s="3" t="str">
        <x:v>KGS</x:v>
      </x:c>
      <x:c r="K18" s="6" t="n">
        <x:v>180</x:v>
      </x:c>
      <x:c r="L18" s="3" t="str">
        <x:v>KGS</x:v>
      </x:c>
      <x:c r="M18" s="6" t="n">
        <x:v>3490200</x:v>
      </x:c>
      <x:c r="N18" s="3" t="str">
        <x:v>Maize 19,390.000 KGS 180.00/KGS 34,90,200.00</x:v>
      </x:c>
    </x:row>
    <x:row r="19" ht="15" hidden="0" customHeight="1">
      <x:c r="A19" s="3" t="n">
        <x:v>16</x:v>
      </x:c>
      <x:c r="B19" s="3" t="n">
        <x:v>2</x:v>
      </x:c>
      <x:c r="C19" s="13" t="n">
        <x:v>46095</x:v>
      </x:c>
      <x:c r="D19" s="3" t="str">
        <x:v>Victory Marvel Seeds</x:v>
      </x:c>
      <x:c r="E19" s="3" t="str">
        <x:v>Purchase</x:v>
      </x:c>
      <x:c r="F19" s="3" t="str">
        <x:v>16</x:v>
      </x:c>
      <x:c r="G19" s="3" t="str">
        <x:v>Purchase (Exempt)</x:v>
      </x:c>
      <x:c r="H19" s="3" t="str">
        <x:v>Maize Hy.Sultan-8199 (1kg*40 Pc)</x:v>
      </x:c>
      <x:c r="I19" s="14" t="n">
        <x:v>1200</x:v>
      </x:c>
      <x:c r="J19" s="3" t="str">
        <x:v>KGS</x:v>
      </x:c>
      <x:c r="K19" s="6" t="n">
        <x:v>85</x:v>
      </x:c>
      <x:c r="L19" s="3" t="str">
        <x:v>KGS</x:v>
      </x:c>
      <x:c r="M19" s="6" t="n">
        <x:v>102000</x:v>
      </x:c>
      <x:c r="N19" s="3" t="str">
        <x:v>Maize Hy.Sultan-8199 (1kg*40 Pc) 1,200.000 KGS 85.00/KGS 1,02,000.00</x:v>
      </x:c>
    </x:row>
    <x:row r="20" ht="15" hidden="0" customHeight="1">
      <x:c r="A20" s="3" t="n">
        <x:v>16</x:v>
      </x:c>
      <x:c r="B20" s="3" t="n">
        <x:v>2</x:v>
      </x:c>
      <x:c r="C20" s="13" t="n">
        <x:v>46095</x:v>
      </x:c>
      <x:c r="D20" s="3" t="str">
        <x:v>Victory Marvel Seeds</x:v>
      </x:c>
      <x:c r="E20" s="3" t="str">
        <x:v>Purchase</x:v>
      </x:c>
      <x:c r="F20" s="3" t="str">
        <x:v>16</x:v>
      </x:c>
      <x:c r="G20" s="3" t="str">
        <x:v>Purchase (Exempt)</x:v>
      </x:c>
      <x:c r="H20" s="3" t="str">
        <x:v>Maize Hy. Sultan-8199 (4kg*10 Pc)</x:v>
      </x:c>
      <x:c r="I20" s="14" t="n">
        <x:v>800</x:v>
      </x:c>
      <x:c r="J20" s="3" t="str">
        <x:v>KGS</x:v>
      </x:c>
      <x:c r="K20" s="6" t="n">
        <x:v>85</x:v>
      </x:c>
      <x:c r="L20" s="3" t="str">
        <x:v>KGS</x:v>
      </x:c>
      <x:c r="M20" s="6" t="n">
        <x:v>68000</x:v>
      </x:c>
      <x:c r="N20" s="3" t="str">
        <x:v>Maize Hy. Sultan-8199 (4kg*10 Pc) 800.000 KGS 85.00/KGS 68,000.00</x:v>
      </x:c>
    </x:row>
    <x:row r="21" ht="15" hidden="0" customHeight="1">
      <x:c r="A21" s="3" t="n">
        <x:v>16</x:v>
      </x:c>
      <x:c r="B21" s="3" t="n">
        <x:v>2</x:v>
      </x:c>
      <x:c r="C21" s="13" t="n">
        <x:v>46095</x:v>
      </x:c>
      <x:c r="D21" s="3" t="str">
        <x:v>Victory Marvel Seeds</x:v>
      </x:c>
      <x:c r="E21" s="3" t="str">
        <x:v>Purchase</x:v>
      </x:c>
      <x:c r="F21" s="3" t="str">
        <x:v>16</x:v>
      </x:c>
      <x:c r="G21" s="3" t="str">
        <x:v>Purchase (Exempt)</x:v>
      </x:c>
      <x:c r="H21" s="3" t="str">
        <x:v>Maize Hy. Sultan Plus (1 Kg*40 Pc)</x:v>
      </x:c>
      <x:c r="I21" s="14" t="n">
        <x:v>520</x:v>
      </x:c>
      <x:c r="J21" s="3" t="str">
        <x:v>KGS</x:v>
      </x:c>
      <x:c r="K21" s="6" t="n">
        <x:v>85</x:v>
      </x:c>
      <x:c r="L21" s="3" t="str">
        <x:v>KGS</x:v>
      </x:c>
      <x:c r="M21" s="6" t="n">
        <x:v>44200</x:v>
      </x:c>
      <x:c r="N21" s="3" t="str">
        <x:v>Maize Hy. Sultan Plus (1 Kg*40 Pc) 520.000 KGS 85.00/KGS 44,200.00</x:v>
      </x:c>
    </x:row>
    <x:row r="22" ht="15" hidden="0" customHeight="1">
      <x:c r="A22" s="3" t="n">
        <x:v>16</x:v>
      </x:c>
      <x:c r="B22" s="3" t="n">
        <x:v>2</x:v>
      </x:c>
      <x:c r="C22" s="13" t="n">
        <x:v>46095</x:v>
      </x:c>
      <x:c r="D22" s="3" t="str">
        <x:v>Victory Marvel Seeds</x:v>
      </x:c>
      <x:c r="E22" s="3" t="str">
        <x:v>Purchase</x:v>
      </x:c>
      <x:c r="F22" s="3" t="str">
        <x:v>16</x:v>
      </x:c>
      <x:c r="G22" s="3" t="str">
        <x:v>Purchase (Exempt)</x:v>
      </x:c>
      <x:c r="H22" s="3" t="str">
        <x:v>Maize Hy.Sultan Plus (4 Kg*10 Pc)</x:v>
      </x:c>
      <x:c r="I22" s="14" t="n">
        <x:v>520</x:v>
      </x:c>
      <x:c r="J22" s="3" t="str">
        <x:v>KGS</x:v>
      </x:c>
      <x:c r="K22" s="6" t="n">
        <x:v>85</x:v>
      </x:c>
      <x:c r="L22" s="3" t="str">
        <x:v>KGS</x:v>
      </x:c>
      <x:c r="M22" s="6" t="n">
        <x:v>44200</x:v>
      </x:c>
      <x:c r="N22" s="3" t="str">
        <x:v>Maize Hy.Sultan Plus (4 Kg*10 Pc) 520.000 KGS 85.00/KGS 44,200.00</x:v>
      </x:c>
    </x:row>
  </x:sheetData>
  <x:pageMargins left="0.7" right="0.7" top="0.75" bottom="0.75" header="0.3" footer="0.3"/>
  <x:tableParts count="1">
    <x:tablePart xmlns:r="http://schemas.openxmlformats.org/officeDocument/2006/relationships" r:id="R5660989a61de42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59999942779541" hidden="0" customWidth="1"/>
    <x:col min="2" max="2" width="5.559999942779541" hidden="0" customWidth="1"/>
    <x:col min="3" max="3" width="130" hidden="0" customWidth="1"/>
  </x:cols>
  <x:sheetData>
    <x:row r="1" ht="15" hidden="0" customHeight="1">
      <x:c r="A1" s="12" t="str">
        <x:v>page</x:v>
      </x:c>
      <x:c r="B1" s="12" t="str">
        <x:v>line</x:v>
      </x:c>
      <x:c r="C1" s="12" t="str">
        <x:v>raw_text</x:v>
      </x:c>
    </x:row>
    <x:row r="2" ht="15" hidden="0" customHeight="1">
      <x:c r="A2" s="3" t="n">
        <x:v>1</x:v>
      </x:c>
      <x:c r="B2" s="3" t="n">
        <x:v>1</x:v>
      </x:c>
      <x:c r="C2" s="3" t="str">
        <x:v>                                   VARDHNAM AGRO SOLUTIONS PVT.LTD (Telangana)(25-26)</x:v>
      </x:c>
    </x:row>
    <x:row r="3" ht="15" hidden="0" customHeight="1">
      <x:c r="A3" s="3" t="n">
        <x:v>1</x:v>
      </x:c>
      <x:c r="B3" s="3" t="n">
        <x:v>2</x:v>
      </x:c>
      <x:c r="C3" s="3" t="str">
        <x:v>                                          PT.NO 067 , PARAT &amp; SLR , INDRAPRASTHA, PHATHWELLY</x:v>
      </x:c>
    </x:row>
    <x:row r="4" ht="15" hidden="0" customHeight="1">
      <x:c r="A4" s="3" t="n">
        <x:v>1</x:v>
      </x:c>
      <x:c r="B4" s="3" t="n">
        <x:v>3</x:v>
      </x:c>
      <x:c r="C4" s="3" t="str">
        <x:v>                                                      HYDERABAD, MEDCHAL MALKAJGIRI</x:v>
      </x:c>
    </x:row>
    <x:row r="5" ht="15" hidden="0" customHeight="1">
      <x:c r="A5" s="3" t="n">
        <x:v>1</x:v>
      </x:c>
      <x:c r="B5" s="3" t="n">
        <x:v>4</x:v>
      </x:c>
      <x:c r="C5" s="3" t="str">
        <x:v>                                                                     TELANGANA</x:v>
      </x:c>
    </x:row>
    <x:row r="6" ht="15" hidden="0" customHeight="1">
      <x:c r="A6" s="3" t="n">
        <x:v>1</x:v>
      </x:c>
      <x:c r="B6" s="3" t="n">
        <x:v>5</x:v>
      </x:c>
      <x:c r="C6" s="3" t="str">
        <x:v>                                                        E-Mail : info@vardhnamagro.com</x:v>
      </x:c>
    </x:row>
    <x:row r="7" ht="15" hidden="0" customHeight="1">
      <x:c r="A7" s="3" t="n">
        <x:v>1</x:v>
      </x:c>
      <x:c r="B7" s="3" t="n">
        <x:v>6</x:v>
      </x:c>
      <x:c r="C7" s="3" t="str"/>
    </x:row>
    <x:row r="8" ht="15" hidden="0" customHeight="1">
      <x:c r="A8" s="3" t="n">
        <x:v>1</x:v>
      </x:c>
      <x:c r="B8" s="3" t="n">
        <x:v>7</x:v>
      </x:c>
      <x:c r="C8" s="3" t="str">
        <x:v>                                                                       Purchase Register</x:v>
      </x:c>
    </x:row>
    <x:row r="9" ht="15" hidden="0" customHeight="1">
      <x:c r="A9" s="3" t="n">
        <x:v>1</x:v>
      </x:c>
      <x:c r="B9" s="3" t="n">
        <x:v>8</x:v>
      </x:c>
      <x:c r="C9" s="3" t="str">
        <x:v>                                                                          1-Apr-25 to 31-Mar-26</x:v>
      </x:c>
    </x:row>
    <x:row r="10" ht="15" hidden="0" customHeight="1">
      <x:c r="A10" s="3" t="n">
        <x:v>1</x:v>
      </x:c>
      <x:c r="B10" s="3" t="n">
        <x:v>9</x:v>
      </x:c>
      <x:c r="C10" s="3" t="str"/>
    </x:row>
    <x:row r="11" ht="15" hidden="0" customHeight="1">
      <x:c r="A11" s="3" t="n">
        <x:v>1</x:v>
      </x:c>
      <x:c r="B11" s="3" t="n">
        <x:v>10</x:v>
      </x:c>
      <x:c r="C11" s="3" t="str">
        <x:v>                                                                                                                                        Page 1</x:v>
      </x:c>
    </x:row>
    <x:row r="12" ht="15" hidden="0" customHeight="1">
      <x:c r="A12" s="3" t="n">
        <x:v>1</x:v>
      </x:c>
      <x:c r="B12" s="3" t="n">
        <x:v>11</x:v>
      </x:c>
      <x:c r="C12" s="3" t="str">
        <x:v>  Date        Particulars                                                                     Vch Type   Vch No.        Debit          Credit</x:v>
      </x:c>
    </x:row>
    <x:row r="13" ht="15" hidden="0" customHeight="1">
      <x:c r="A13" s="3" t="n">
        <x:v>1</x:v>
      </x:c>
      <x:c r="B13" s="3" t="n">
        <x:v>12</x:v>
      </x:c>
      <x:c r="C13" s="3" t="str">
        <x:v>                                                                                                                      Amount          Amount</x:v>
      </x:c>
    </x:row>
    <x:row r="14" ht="15" hidden="0" customHeight="1">
      <x:c r="A14" s="3" t="n">
        <x:v>1</x:v>
      </x:c>
      <x:c r="B14" s="3" t="n">
        <x:v>13</x:v>
      </x:c>
      <x:c r="C14" s="3" t="str">
        <x:v>22-Apr-25 Potarevena Ravinder                                                                 Purchase         1                  6,70,400.00</x:v>
      </x:c>
    </x:row>
    <x:row r="15" ht="15" hidden="0" customHeight="1">
      <x:c r="A15" s="3" t="n">
        <x:v>1</x:v>
      </x:c>
      <x:c r="B15" s="3" t="n">
        <x:v>14</x:v>
      </x:c>
      <x:c r="C15" s="3" t="str">
        <x:v>        Purchase (URP)                                                                                             6,70,400.00</x:v>
      </x:c>
    </x:row>
    <x:row r="16" ht="15" hidden="0" customHeight="1">
      <x:c r="A16" s="3" t="n">
        <x:v>1</x:v>
      </x:c>
      <x:c r="B16" s="3" t="n">
        <x:v>15</x:v>
      </x:c>
      <x:c r="C16" s="3" t="str">
        <x:v>                        Paddy Sampurna               20,950.000 KGS 32.00/KGS   6,70,400.00</x:v>
      </x:c>
    </x:row>
    <x:row r="17" ht="15" hidden="0" customHeight="1">
      <x:c r="A17" s="3" t="n">
        <x:v>1</x:v>
      </x:c>
      <x:c r="B17" s="3" t="n">
        <x:v>16</x:v>
      </x:c>
      <x:c r="C17" s="3" t="str">
        <x:v>            Being purchase</x:v>
      </x:c>
    </x:row>
    <x:row r="18" ht="15" hidden="0" customHeight="1">
      <x:c r="A18" s="3" t="n">
        <x:v>1</x:v>
      </x:c>
      <x:c r="B18" s="3" t="n">
        <x:v>17</x:v>
      </x:c>
      <x:c r="C18" s="3" t="str"/>
    </x:row>
    <x:row r="19" ht="15" hidden="0" customHeight="1">
      <x:c r="A19" s="3" t="n">
        <x:v>1</x:v>
      </x:c>
      <x:c r="B19" s="3" t="n">
        <x:v>18</x:v>
      </x:c>
      <x:c r="C19" s="3" t="str">
        <x:v>28-Apr-25 Potarevena Ravinder                                                                 Purchase         2                  7,13,155.00</x:v>
      </x:c>
    </x:row>
    <x:row r="20" ht="15" hidden="0" customHeight="1">
      <x:c r="A20" s="3" t="n">
        <x:v>1</x:v>
      </x:c>
      <x:c r="B20" s="3" t="n">
        <x:v>19</x:v>
      </x:c>
      <x:c r="C20" s="3" t="str">
        <x:v>        Purchase (URP)                                                                                             7,13,155.00</x:v>
      </x:c>
    </x:row>
    <x:row r="21" ht="15" hidden="0" customHeight="1">
      <x:c r="A21" s="3" t="n">
        <x:v>1</x:v>
      </x:c>
      <x:c r="B21" s="3" t="n">
        <x:v>20</x:v>
      </x:c>
      <x:c r="C21" s="3" t="str">
        <x:v>                        Paddy Pb 1692                16,585.000 KGS 43.00/KGS   7,13,155.00</x:v>
      </x:c>
    </x:row>
    <x:row r="22" ht="15" hidden="0" customHeight="1">
      <x:c r="A22" s="3" t="n">
        <x:v>1</x:v>
      </x:c>
      <x:c r="B22" s="3" t="n">
        <x:v>21</x:v>
      </x:c>
      <x:c r="C22" s="3" t="str">
        <x:v>            Being purchase.</x:v>
      </x:c>
    </x:row>
    <x:row r="23" ht="15" hidden="0" customHeight="1">
      <x:c r="A23" s="3" t="n">
        <x:v>1</x:v>
      </x:c>
      <x:c r="B23" s="3" t="n">
        <x:v>22</x:v>
      </x:c>
      <x:c r="C23" s="3" t="str"/>
    </x:row>
    <x:row r="24" ht="15" hidden="0" customHeight="1">
      <x:c r="A24" s="3" t="n">
        <x:v>1</x:v>
      </x:c>
      <x:c r="B24" s="3" t="n">
        <x:v>23</x:v>
      </x:c>
      <x:c r="C24" s="3" t="str">
        <x:v>29-Apr-25 Potarevena Ravinder                                                                 Purchase         3                  24,48,000.00</x:v>
      </x:c>
    </x:row>
    <x:row r="25" ht="15" hidden="0" customHeight="1">
      <x:c r="A25" s="3" t="n">
        <x:v>1</x:v>
      </x:c>
      <x:c r="B25" s="3" t="n">
        <x:v>24</x:v>
      </x:c>
      <x:c r="C25" s="3" t="str">
        <x:v>        Purchase (URP)                                                                                             24,48,000.00</x:v>
      </x:c>
    </x:row>
    <x:row r="26" ht="15" hidden="0" customHeight="1">
      <x:c r="A26" s="3" t="n">
        <x:v>1</x:v>
      </x:c>
      <x:c r="B26" s="3" t="n">
        <x:v>25</x:v>
      </x:c>
      <x:c r="C26" s="3" t="str">
        <x:v>                        Paddy Taj                    14,400.000 KGS 170.00/KGS 24,48,000.00</x:v>
      </x:c>
    </x:row>
    <x:row r="27" ht="15" hidden="0" customHeight="1">
      <x:c r="A27" s="3" t="n">
        <x:v>1</x:v>
      </x:c>
      <x:c r="B27" s="3" t="n">
        <x:v>26</x:v>
      </x:c>
      <x:c r="C27" s="3" t="str">
        <x:v>            Being purchase.</x:v>
      </x:c>
    </x:row>
    <x:row r="28" ht="15" hidden="0" customHeight="1">
      <x:c r="A28" s="3" t="n">
        <x:v>1</x:v>
      </x:c>
      <x:c r="B28" s="3" t="n">
        <x:v>27</x:v>
      </x:c>
      <x:c r="C28" s="3" t="str"/>
    </x:row>
    <x:row r="29" ht="15" hidden="0" customHeight="1">
      <x:c r="A29" s="3" t="n">
        <x:v>1</x:v>
      </x:c>
      <x:c r="B29" s="3" t="n">
        <x:v>28</x:v>
      </x:c>
      <x:c r="C29" s="3" t="str">
        <x:v>6-May-25 Potarevena Ravinder                                                                  Purchase         4                  5,36,640.00</x:v>
      </x:c>
    </x:row>
    <x:row r="30" ht="15" hidden="0" customHeight="1">
      <x:c r="A30" s="3" t="n">
        <x:v>1</x:v>
      </x:c>
      <x:c r="B30" s="3" t="n">
        <x:v>29</x:v>
      </x:c>
      <x:c r="C30" s="3" t="str">
        <x:v>       Purchase (URP)                                                                                              5,36,640.00</x:v>
      </x:c>
    </x:row>
    <x:row r="31" ht="15" hidden="0" customHeight="1">
      <x:c r="A31" s="3" t="n">
        <x:v>1</x:v>
      </x:c>
      <x:c r="B31" s="3" t="n">
        <x:v>30</x:v>
      </x:c>
      <x:c r="C31" s="3" t="str">
        <x:v>                        Paddy Pb 1692                12,480.000 KGS 43.00/KGS   5,36,640.00</x:v>
      </x:c>
    </x:row>
    <x:row r="32" ht="15" hidden="0" customHeight="1">
      <x:c r="A32" s="3" t="n">
        <x:v>1</x:v>
      </x:c>
      <x:c r="B32" s="3" t="n">
        <x:v>31</x:v>
      </x:c>
      <x:c r="C32" s="3" t="str">
        <x:v>            Being purchase.</x:v>
      </x:c>
    </x:row>
    <x:row r="33" ht="15" hidden="0" customHeight="1">
      <x:c r="A33" s="3" t="n">
        <x:v>1</x:v>
      </x:c>
      <x:c r="B33" s="3" t="n">
        <x:v>32</x:v>
      </x:c>
      <x:c r="C33" s="3" t="str"/>
    </x:row>
    <x:row r="34" ht="15" hidden="0" customHeight="1">
      <x:c r="A34" s="3" t="n">
        <x:v>1</x:v>
      </x:c>
      <x:c r="B34" s="3" t="n">
        <x:v>33</x:v>
      </x:c>
      <x:c r="C34" s="3" t="str">
        <x:v>8-May-25 Littles Agrivet Pvt Ltd..                                                            Purchase         5                     35,400.00</x:v>
      </x:c>
    </x:row>
    <x:row r="35" ht="15" hidden="0" customHeight="1">
      <x:c r="A35" s="3" t="n">
        <x:v>1</x:v>
      </x:c>
      <x:c r="B35" s="3" t="n">
        <x:v>34</x:v>
      </x:c>
      <x:c r="C35" s="3" t="str">
        <x:v>       Purchase @ 18%                                                                                                35,400.00</x:v>
      </x:c>
    </x:row>
    <x:row r="36" ht="15" hidden="0" customHeight="1">
      <x:c r="A36" s="3" t="n">
        <x:v>1</x:v>
      </x:c>
      <x:c r="B36" s="3" t="n">
        <x:v>35</x:v>
      </x:c>
      <x:c r="C36" s="3" t="str">
        <x:v>                              Thairam                 120 ltr. 295.00/ltr.       35,400.00</x:v>
      </x:c>
    </x:row>
    <x:row r="37" ht="15" hidden="0" customHeight="1">
      <x:c r="A37" s="3" t="n">
        <x:v>1</x:v>
      </x:c>
      <x:c r="B37" s="3" t="n">
        <x:v>36</x:v>
      </x:c>
      <x:c r="C37" s="3" t="str"/>
    </x:row>
    <x:row r="38" ht="15" hidden="0" customHeight="1">
      <x:c r="A38" s="3" t="n">
        <x:v>1</x:v>
      </x:c>
      <x:c r="B38" s="3" t="n">
        <x:v>37</x:v>
      </x:c>
      <x:c r="C38" s="3" t="str">
        <x:v>9-May-25 Littles Agrivet Pvt Ltd..                                                            Purchase         6                     99,120.00</x:v>
      </x:c>
    </x:row>
    <x:row r="39" ht="15" hidden="0" customHeight="1">
      <x:c r="A39" s="3" t="n">
        <x:v>1</x:v>
      </x:c>
      <x:c r="B39" s="3" t="n">
        <x:v>38</x:v>
      </x:c>
      <x:c r="C39" s="3" t="str">
        <x:v>       Purchase @ 18%                                                                                                99,120.00</x:v>
      </x:c>
    </x:row>
    <x:row r="40" ht="15" hidden="0" customHeight="1">
      <x:c r="A40" s="3" t="n">
        <x:v>1</x:v>
      </x:c>
      <x:c r="B40" s="3" t="n">
        <x:v>39</x:v>
      </x:c>
      <x:c r="C40" s="3" t="str">
        <x:v>                       Seed Caoting Polymer   300 ltr. 330.40/ltr.               99,120.00</x:v>
      </x:c>
    </x:row>
    <x:row r="41" ht="15" hidden="0" customHeight="1">
      <x:c r="A41" s="3" t="n">
        <x:v>1</x:v>
      </x:c>
      <x:c r="B41" s="3" t="n">
        <x:v>40</x:v>
      </x:c>
      <x:c r="C41" s="3" t="str">
        <x:v>            Being polymer purchase for Paddy.</x:v>
      </x:c>
    </x:row>
    <x:row r="42" ht="15" hidden="0" customHeight="1">
      <x:c r="A42" s="3" t="n">
        <x:v>1</x:v>
      </x:c>
      <x:c r="B42" s="3" t="n">
        <x:v>41</x:v>
      </x:c>
      <x:c r="C42" s="3" t="str"/>
    </x:row>
    <x:row r="43" ht="15" hidden="0" customHeight="1">
      <x:c r="A43" s="3" t="n">
        <x:v>1</x:v>
      </x:c>
      <x:c r="B43" s="3" t="n">
        <x:v>42</x:v>
      </x:c>
      <x:c r="C43" s="3" t="str">
        <x:v>9-May-25 Littles Agrivet Pvt Ltd..                                                            Purchase         7                      1,770.00</x:v>
      </x:c>
    </x:row>
    <x:row r="44" ht="15" hidden="0" customHeight="1">
      <x:c r="A44" s="3" t="n">
        <x:v>1</x:v>
      </x:c>
      <x:c r="B44" s="3" t="n">
        <x:v>43</x:v>
      </x:c>
      <x:c r="C44" s="3" t="str">
        <x:v>       Purchase @ 18%                                                                                                  1,770.00</x:v>
      </x:c>
    </x:row>
    <x:row r="45" ht="15" hidden="0" customHeight="1">
      <x:c r="A45" s="3" t="n">
        <x:v>1</x:v>
      </x:c>
      <x:c r="B45" s="3" t="n">
        <x:v>44</x:v>
      </x:c>
      <x:c r="C45" s="3" t="str">
        <x:v>                        DELTAMETHRIN 2.5% WP 6.000 KGS 295.00/KGS                  1,770.00</x:v>
      </x:c>
    </x:row>
    <x:row r="46" ht="15" hidden="0" customHeight="1">
      <x:c r="A46" s="3" t="n">
        <x:v>1</x:v>
      </x:c>
      <x:c r="B46" s="3" t="n">
        <x:v>45</x:v>
      </x:c>
      <x:c r="C46" s="3" t="str">
        <x:v>            Being treatment for pady purchase.</x:v>
      </x:c>
    </x:row>
    <x:row r="47" ht="15" hidden="0" customHeight="1">
      <x:c r="A47" s="3" t="n">
        <x:v>1</x:v>
      </x:c>
      <x:c r="B47" s="3" t="n">
        <x:v>46</x:v>
      </x:c>
      <x:c r="C47" s="3" t="str"/>
    </x:row>
    <x:row r="48" ht="15" hidden="0" customHeight="1">
      <x:c r="A48" s="3" t="n">
        <x:v>1</x:v>
      </x:c>
      <x:c r="B48" s="3" t="n">
        <x:v>47</x:v>
      </x:c>
      <x:c r="C48" s="3" t="str">
        <x:v>10-May-25 Potarevena Ravinder                                                                 Purchase         8                  4,81,760.00</x:v>
      </x:c>
    </x:row>
    <x:row r="49" ht="15" hidden="0" customHeight="1">
      <x:c r="A49" s="3" t="n">
        <x:v>1</x:v>
      </x:c>
      <x:c r="B49" s="3" t="n">
        <x:v>48</x:v>
      </x:c>
      <x:c r="C49" s="3" t="str">
        <x:v>        Purchase (URP)                                                                                             4,81,760.00</x:v>
      </x:c>
    </x:row>
    <x:row r="50" ht="15" hidden="0" customHeight="1">
      <x:c r="A50" s="3" t="n">
        <x:v>1</x:v>
      </x:c>
      <x:c r="B50" s="3" t="n">
        <x:v>49</x:v>
      </x:c>
      <x:c r="C50" s="3" t="str">
        <x:v>                        Paddy (Aman)                 15,055.000 KGS 32.00/KGS   4,81,760.00</x:v>
      </x:c>
    </x:row>
    <x:row r="51" ht="15" hidden="0" customHeight="1">
      <x:c r="A51" s="3" t="n">
        <x:v>1</x:v>
      </x:c>
      <x:c r="B51" s="3" t="n">
        <x:v>50</x:v>
      </x:c>
      <x:c r="C51" s="3" t="str">
        <x:v>            Being purchase.</x:v>
      </x:c>
    </x:row>
    <x:row r="52" ht="15" hidden="0" customHeight="1">
      <x:c r="A52" s="3" t="n">
        <x:v>1</x:v>
      </x:c>
      <x:c r="B52" s="3" t="n">
        <x:v>51</x:v>
      </x:c>
      <x:c r="C52" s="3" t="str"/>
    </x:row>
    <x:row r="53" ht="15" hidden="0" customHeight="1">
      <x:c r="A53" s="3" t="n">
        <x:v>1</x:v>
      </x:c>
      <x:c r="B53" s="3" t="n">
        <x:v>52</x:v>
      </x:c>
      <x:c r="C53" s="3" t="str">
        <x:v>16-May-25 Kesari Fibres Private Limited                                                       Purchase         9                  1,66,150.00</x:v>
      </x:c>
    </x:row>
    <x:row r="54" ht="15" hidden="0" customHeight="1">
      <x:c r="A54" s="3" t="n">
        <x:v>1</x:v>
      </x:c>
      <x:c r="B54" s="3" t="n">
        <x:v>53</x:v>
      </x:c>
      <x:c r="C54" s="3" t="str">
        <x:v>        Purchase @ 18%                                                                                             1,66,149.90</x:v>
      </x:c>
    </x:row>
    <x:row r="55" ht="15" hidden="0" customHeight="1">
      <x:c r="A55" s="3" t="n">
        <x:v>1</x:v>
      </x:c>
      <x:c r="B55" s="3" t="n">
        <x:v>54</x:v>
      </x:c>
      <x:c r="C55" s="3" t="str">
        <x:v>                              Paddy Pouch 6kg Blue   4,950 Nos 16.06/Nos         79,497.45</x:v>
      </x:c>
    </x:row>
    <x:row r="56" ht="15" hidden="0" customHeight="1">
      <x:c r="A56" s="3" t="n">
        <x:v>1</x:v>
      </x:c>
      <x:c r="B56" s="3" t="n">
        <x:v>55</x:v>
      </x:c>
      <x:c r="C56" s="3" t="str">
        <x:v>                         Paddy Pouch 6kg Green       5,480 Nos 15.81/Nos         86,652.45</x:v>
      </x:c>
    </x:row>
    <x:row r="57" ht="15" hidden="0" customHeight="1">
      <x:c r="A57" s="3" t="n">
        <x:v>1</x:v>
      </x:c>
      <x:c r="B57" s="3" t="n">
        <x:v>56</x:v>
      </x:c>
      <x:c r="C57" s="3" t="str">
        <x:v>           ROUND OFF                                                                                                       0.10</x:v>
      </x:c>
    </x:row>
    <x:row r="58" ht="15" hidden="0" customHeight="1">
      <x:c r="A58" s="3" t="n">
        <x:v>1</x:v>
      </x:c>
      <x:c r="B58" s="3" t="n">
        <x:v>57</x:v>
      </x:c>
      <x:c r="C58" s="3" t="str">
        <x:v>            Being invoice no.382</x:v>
      </x:c>
    </x:row>
    <x:row r="59" ht="15" hidden="0" customHeight="1">
      <x:c r="A59" s="3" t="n">
        <x:v>1</x:v>
      </x:c>
      <x:c r="B59" s="3" t="n">
        <x:v>58</x:v>
      </x:c>
      <x:c r="C59" s="3" t="str"/>
    </x:row>
    <x:row r="60" ht="15" hidden="0" customHeight="1">
      <x:c r="A60" s="3" t="n">
        <x:v>1</x:v>
      </x:c>
      <x:c r="B60" s="3" t="n">
        <x:v>59</x:v>
      </x:c>
      <x:c r="C60" s="3" t="str"/>
    </x:row>
    <x:row r="61" ht="15" hidden="0" customHeight="1">
      <x:c r="A61" s="3" t="n">
        <x:v>1</x:v>
      </x:c>
      <x:c r="B61" s="3" t="n">
        <x:v>60</x:v>
      </x:c>
      <x:c r="C61" s="3" t="str"/>
    </x:row>
    <x:row r="62" ht="15" hidden="0" customHeight="1">
      <x:c r="A62" s="3" t="n">
        <x:v>1</x:v>
      </x:c>
      <x:c r="B62" s="3" t="n">
        <x:v>61</x:v>
      </x:c>
      <x:c r="C62" s="3" t="str"/>
    </x:row>
    <x:row r="63" ht="15" hidden="0" customHeight="1">
      <x:c r="A63" s="3" t="n">
        <x:v>1</x:v>
      </x:c>
      <x:c r="B63" s="3" t="n">
        <x:v>62</x:v>
      </x:c>
      <x:c r="C63" s="3" t="str">
        <x:v>               Carried Over                                                                                                       51,52,395.00</x:v>
      </x:c>
    </x:row>
    <x:row r="64" ht="15" hidden="0" customHeight="1">
      <x:c r="A64" s="3" t="n">
        <x:v>1</x:v>
      </x:c>
      <x:c r="B64" s="3" t="n">
        <x:v>63</x:v>
      </x:c>
      <x:c r="C64" s="3" t="str"/>
    </x:row>
    <x:row r="65" ht="15" hidden="0" customHeight="1">
      <x:c r="A65" s="3" t="n">
        <x:v>1</x:v>
      </x:c>
      <x:c r="B65" s="3" t="n">
        <x:v>64</x:v>
      </x:c>
      <x:c r="C65" s="3" t="str"/>
    </x:row>
    <x:row r="66" ht="15" hidden="0" customHeight="1">
      <x:c r="A66" s="3" t="n">
        <x:v>1</x:v>
      </x:c>
      <x:c r="B66" s="3" t="n">
        <x:v>65</x:v>
      </x:c>
      <x:c r="C66" s="3" t="str"/>
    </x:row>
    <x:row r="67" ht="15" hidden="0" customHeight="1">
      <x:c r="A67" s="3" t="n">
        <x:v>1</x:v>
      </x:c>
      <x:c r="B67" s="3" t="n">
        <x:v>66</x:v>
      </x:c>
      <x:c r="C67" s="3" t="str">
        <x:v>                                                                                                                              continued ...</x:v>
      </x:c>
    </x:row>
    <x:row r="68" ht="15" hidden="0" customHeight="1">
      <x:c r="A68" s="3" t="n">
        <x:v>2</x:v>
      </x:c>
      <x:c r="B68" s="3" t="n">
        <x:v>1</x:v>
      </x:c>
      <x:c r="C68" s="3" t="str">
        <x:v>VARDHNAM AGRO SOLUTIONS PVT.LTD (Telangana)(25-26)</x:v>
      </x:c>
    </x:row>
    <x:row r="69" ht="15" hidden="0" customHeight="1">
      <x:c r="A69" s="3" t="n">
        <x:v>2</x:v>
      </x:c>
      <x:c r="B69" s="3" t="n">
        <x:v>2</x:v>
      </x:c>
      <x:c r="C69" s="3" t="str">
        <x:v>Purchase Register : 1-Apr-25 to 31-Mar-26                                                                                                                           Page 2</x:v>
      </x:c>
    </x:row>
    <x:row r="70" ht="15" hidden="0" customHeight="1">
      <x:c r="A70" s="3" t="n">
        <x:v>2</x:v>
      </x:c>
      <x:c r="B70" s="3" t="n">
        <x:v>3</x:v>
      </x:c>
      <x:c r="C70" s="3" t="str">
        <x:v>   Date Particulars                                                                                            Vch Type    Vch No.                  Debit          Credit</x:v>
      </x:c>
    </x:row>
    <x:row r="71" ht="15" hidden="0" customHeight="1">
      <x:c r="A71" s="3" t="n">
        <x:v>2</x:v>
      </x:c>
      <x:c r="B71" s="3" t="n">
        <x:v>4</x:v>
      </x:c>
      <x:c r="C71" s="3" t="str">
        <x:v>                                                                                                                                                  Amount          Amount</x:v>
      </x:c>
    </x:row>
    <x:row r="72" ht="15" hidden="0" customHeight="1">
      <x:c r="A72" s="3" t="n">
        <x:v>2</x:v>
      </x:c>
      <x:c r="B72" s="3" t="n">
        <x:v>5</x:v>
      </x:c>
      <x:c r="C72" s="3" t="str"/>
    </x:row>
    <x:row r="73" ht="15" hidden="0" customHeight="1">
      <x:c r="A73" s="3" t="n">
        <x:v>2</x:v>
      </x:c>
      <x:c r="B73" s="3" t="n">
        <x:v>6</x:v>
      </x:c>
      <x:c r="C73" s="3" t="str">
        <x:v>               Brought Forward                                                                                                                                51,52,395.00</x:v>
      </x:c>
    </x:row>
    <x:row r="74" ht="15" hidden="0" customHeight="1">
      <x:c r="A74" s="3" t="n">
        <x:v>2</x:v>
      </x:c>
      <x:c r="B74" s="3" t="n">
        <x:v>7</x:v>
      </x:c>
      <x:c r="C74" s="3" t="str"/>
    </x:row>
    <x:row r="75" ht="15" hidden="0" customHeight="1">
      <x:c r="A75" s="3" t="n">
        <x:v>2</x:v>
      </x:c>
      <x:c r="B75" s="3" t="n">
        <x:v>8</x:v>
      </x:c>
      <x:c r="C75" s="3" t="str"/>
    </x:row>
    <x:row r="76" ht="15" hidden="0" customHeight="1">
      <x:c r="A76" s="3" t="n">
        <x:v>2</x:v>
      </x:c>
      <x:c r="B76" s="3" t="n">
        <x:v>9</x:v>
      </x:c>
      <x:c r="C76" s="3" t="str">
        <x:v>21-May-25 Victory Marvel Seeds                                                                                  Purchase         10                           29,61,480.00</x:v>
      </x:c>
    </x:row>
    <x:row r="77" ht="15" hidden="0" customHeight="1">
      <x:c r="A77" s="3" t="n">
        <x:v>2</x:v>
      </x:c>
      <x:c r="B77" s="3" t="n">
        <x:v>10</x:v>
      </x:c>
      <x:c r="C77" s="3" t="str">
        <x:v>                      New Ref 6                                              29,61,480.00 Cr</x:v>
      </x:c>
    </x:row>
    <x:row r="78" ht="15" hidden="0" customHeight="1">
      <x:c r="A78" s="3" t="n">
        <x:v>2</x:v>
      </x:c>
      <x:c r="B78" s="3" t="n">
        <x:v>11</x:v>
      </x:c>
      <x:c r="C78" s="3" t="str">
        <x:v>        Purchase (Exempt)                                                                                                                      29,61,480.00</x:v>
      </x:c>
    </x:row>
    <x:row r="79" ht="15" hidden="0" customHeight="1">
      <x:c r="A79" s="3" t="n">
        <x:v>2</x:v>
      </x:c>
      <x:c r="B79" s="3" t="n">
        <x:v>12</x:v>
      </x:c>
      <x:c r="C79" s="3" t="str">
        <x:v>                        Paddy Namo-369 (3 Kg*10 Pc)                   20,010.000 KGS 148.00/KGS 29,61,480.00</x:v>
      </x:c>
    </x:row>
    <x:row r="80" ht="15" hidden="0" customHeight="1">
      <x:c r="A80" s="3" t="n">
        <x:v>2</x:v>
      </x:c>
      <x:c r="B80" s="3" t="n">
        <x:v>13</x:v>
      </x:c>
      <x:c r="C80" s="3" t="str">
        <x:v>            Being stockpurchase.</x:v>
      </x:c>
    </x:row>
    <x:row r="81" ht="15" hidden="0" customHeight="1">
      <x:c r="A81" s="3" t="n">
        <x:v>2</x:v>
      </x:c>
      <x:c r="B81" s="3" t="n">
        <x:v>14</x:v>
      </x:c>
      <x:c r="C81" s="3" t="str"/>
    </x:row>
    <x:row r="82" ht="15" hidden="0" customHeight="1">
      <x:c r="A82" s="3" t="n">
        <x:v>2</x:v>
      </x:c>
      <x:c r="B82" s="3" t="n">
        <x:v>15</x:v>
      </x:c>
      <x:c r="C82" s="3" t="str">
        <x:v>22-May-25 Littles Agrivet Pvt Ltd..                                                                             Purchase         11                              24,780.00</x:v>
      </x:c>
    </x:row>
    <x:row r="83" ht="15" hidden="0" customHeight="1">
      <x:c r="A83" s="3" t="n">
        <x:v>2</x:v>
      </x:c>
      <x:c r="B83" s="3" t="n">
        <x:v>16</x:v>
      </x:c>
      <x:c r="C83" s="3" t="str">
        <x:v>        Purchase @ 18%                                                                                                                           24,780.00</x:v>
      </x:c>
    </x:row>
    <x:row r="84" ht="15" hidden="0" customHeight="1">
      <x:c r="A84" s="3" t="n">
        <x:v>2</x:v>
      </x:c>
      <x:c r="B84" s="3" t="n">
        <x:v>17</x:v>
      </x:c>
      <x:c r="C84" s="3" t="str">
        <x:v>                        Seed Caoting Polymer                             75 ltr. 330.40/ltr.     24,780.00</x:v>
      </x:c>
    </x:row>
    <x:row r="85" ht="15" hidden="0" customHeight="1">
      <x:c r="A85" s="3" t="n">
        <x:v>2</x:v>
      </x:c>
      <x:c r="B85" s="3" t="n">
        <x:v>18</x:v>
      </x:c>
      <x:c r="C85" s="3" t="str">
        <x:v>            Being purchase for paddy stock of</x:v>
      </x:c>
    </x:row>
    <x:row r="86" ht="15" hidden="0" customHeight="1">
      <x:c r="A86" s="3" t="n">
        <x:v>2</x:v>
      </x:c>
      <x:c r="B86" s="3" t="n">
        <x:v>19</x:v>
      </x:c>
      <x:c r="C86" s="3" t="str">
        <x:v>            etah.</x:v>
      </x:c>
    </x:row>
    <x:row r="87" ht="15" hidden="0" customHeight="1">
      <x:c r="A87" s="3" t="n">
        <x:v>2</x:v>
      </x:c>
      <x:c r="B87" s="3" t="n">
        <x:v>20</x:v>
      </x:c>
      <x:c r="C87" s="3" t="str"/>
    </x:row>
    <x:row r="88" ht="15" hidden="0" customHeight="1">
      <x:c r="A88" s="3" t="n">
        <x:v>2</x:v>
      </x:c>
      <x:c r="B88" s="3" t="n">
        <x:v>21</x:v>
      </x:c>
      <x:c r="C88" s="3" t="str">
        <x:v>22-May-25 Littles Agrivet Pvt Ltd..                                                                             Purchase         12                                4,425.00</x:v>
      </x:c>
    </x:row>
    <x:row r="89" ht="15" hidden="0" customHeight="1">
      <x:c r="A89" s="3" t="n">
        <x:v>2</x:v>
      </x:c>
      <x:c r="B89" s="3" t="n">
        <x:v>22</x:v>
      </x:c>
      <x:c r="C89" s="3" t="str">
        <x:v>        Purchase @ 18%                                                                                                                             4,425.00</x:v>
      </x:c>
    </x:row>
    <x:row r="90" ht="15" hidden="0" customHeight="1">
      <x:c r="A90" s="3" t="n">
        <x:v>2</x:v>
      </x:c>
      <x:c r="B90" s="3" t="n">
        <x:v>23</x:v>
      </x:c>
      <x:c r="C90" s="3" t="str">
        <x:v>                                 DELTAMETHRIN 2.5% WP                 1.000 KGS 587.50/KGS           587.50</x:v>
      </x:c>
    </x:row>
    <x:row r="91" ht="15" hidden="0" customHeight="1">
      <x:c r="A91" s="3" t="n">
        <x:v>2</x:v>
      </x:c>
      <x:c r="B91" s="3" t="n">
        <x:v>24</x:v>
      </x:c>
      <x:c r="C91" s="3" t="str">
        <x:v>                        Carbendazim 12 %+Mancozeb 63% 10.000 KGS 383.75/KGS                        3,837.50</x:v>
      </x:c>
    </x:row>
    <x:row r="92" ht="15" hidden="0" customHeight="1">
      <x:c r="A92" s="3" t="n">
        <x:v>2</x:v>
      </x:c>
      <x:c r="B92" s="3" t="n">
        <x:v>25</x:v>
      </x:c>
      <x:c r="C92" s="3" t="str">
        <x:v>            Being purchase for paddy stock of</x:v>
      </x:c>
    </x:row>
    <x:row r="93" ht="15" hidden="0" customHeight="1">
      <x:c r="A93" s="3" t="n">
        <x:v>2</x:v>
      </x:c>
      <x:c r="B93" s="3" t="n">
        <x:v>26</x:v>
      </x:c>
      <x:c r="C93" s="3" t="str">
        <x:v>            etah.</x:v>
      </x:c>
    </x:row>
    <x:row r="94" ht="15" hidden="0" customHeight="1">
      <x:c r="A94" s="3" t="n">
        <x:v>2</x:v>
      </x:c>
      <x:c r="B94" s="3" t="n">
        <x:v>27</x:v>
      </x:c>
      <x:c r="C94" s="3" t="str"/>
    </x:row>
    <x:row r="95" ht="15" hidden="0" customHeight="1">
      <x:c r="A95" s="3" t="n">
        <x:v>2</x:v>
      </x:c>
      <x:c r="B95" s="3" t="n">
        <x:v>28</x:v>
      </x:c>
      <x:c r="C95" s="3" t="str">
        <x:v>29-Sep-25 Kesari Fibres Private Limited                                                                         Purchase         13                           1,10,200.00</x:v>
      </x:c>
    </x:row>
    <x:row r="96" ht="15" hidden="0" customHeight="1">
      <x:c r="A96" s="3" t="n">
        <x:v>2</x:v>
      </x:c>
      <x:c r="B96" s="3" t="n">
        <x:v>29</x:v>
      </x:c>
      <x:c r="C96" s="3" t="str">
        <x:v>        Purchase @ 18%                                                                                                                         1,10,200.00</x:v>
      </x:c>
    </x:row>
    <x:row r="97" ht="15" hidden="0" customHeight="1">
      <x:c r="A97" s="3" t="n">
        <x:v>2</x:v>
      </x:c>
      <x:c r="B97" s="3" t="n">
        <x:v>30</x:v>
      </x:c>
      <x:c r="C97" s="3" t="str">
        <x:v>                        FB-PP/HDPP WOVEN SACKS                        5,660 Nos 19.47/Nos       1,10,200.00</x:v>
      </x:c>
    </x:row>
    <x:row r="98" ht="15" hidden="0" customHeight="1">
      <x:c r="A98" s="3" t="n">
        <x:v>2</x:v>
      </x:c>
      <x:c r="B98" s="3" t="n">
        <x:v>31</x:v>
      </x:c>
      <x:c r="C98" s="3" t="str">
        <x:v>            Being wrong invoice.</x:v>
      </x:c>
    </x:row>
    <x:row r="99" ht="15" hidden="0" customHeight="1">
      <x:c r="A99" s="3" t="n">
        <x:v>2</x:v>
      </x:c>
      <x:c r="B99" s="3" t="n">
        <x:v>32</x:v>
      </x:c>
      <x:c r="C99" s="3" t="str"/>
    </x:row>
    <x:row r="100" ht="15" hidden="0" customHeight="1">
      <x:c r="A100" s="3" t="n">
        <x:v>2</x:v>
      </x:c>
      <x:c r="B100" s="3" t="n">
        <x:v>33</x:v>
      </x:c>
      <x:c r="C100" s="3" t="str">
        <x:v>18-Feb-26 Coral Print Pack Pvt.Ltd.                                                                             Purchase         14                           1,44,548.00</x:v>
      </x:c>
    </x:row>
    <x:row r="101" ht="15" hidden="0" customHeight="1">
      <x:c r="A101" s="3" t="n">
        <x:v>2</x:v>
      </x:c>
      <x:c r="B101" s="3" t="n">
        <x:v>34</x:v>
      </x:c>
      <x:c r="C101" s="3" t="str">
        <x:v>        Purchase @ 18%                                                                                                                         1,44,548.00</x:v>
      </x:c>
    </x:row>
    <x:row r="102" ht="15" hidden="0" customHeight="1">
      <x:c r="A102" s="3" t="n">
        <x:v>2</x:v>
      </x:c>
      <x:c r="B102" s="3" t="n">
        <x:v>35</x:v>
      </x:c>
      <x:c r="C102" s="3" t="str">
        <x:v>                         Printed Laminated Pouch (White King) 13,315 Nos 10.86/Nos              1,44,548.00</x:v>
      </x:c>
    </x:row>
    <x:row r="103" ht="15" hidden="0" customHeight="1">
      <x:c r="A103" s="3" t="n">
        <x:v>2</x:v>
      </x:c>
      <x:c r="B103" s="3" t="n">
        <x:v>36</x:v>
      </x:c>
      <x:c r="C103" s="3" t="str">
        <x:v>            Being invoice no CPPL/25-26/3220.</x:v>
      </x:c>
    </x:row>
    <x:row r="104" ht="15" hidden="0" customHeight="1">
      <x:c r="A104" s="3" t="n">
        <x:v>2</x:v>
      </x:c>
      <x:c r="B104" s="3" t="n">
        <x:v>37</x:v>
      </x:c>
      <x:c r="C104" s="3" t="str"/>
    </x:row>
    <x:row r="105" ht="15" hidden="0" customHeight="1">
      <x:c r="A105" s="3" t="n">
        <x:v>2</x:v>
      </x:c>
      <x:c r="B105" s="3" t="n">
        <x:v>38</x:v>
      </x:c>
      <x:c r="C105" s="3" t="str">
        <x:v>28-Feb-26 PVR SEEDS                                                                                             Purchase         15                           34,90,200.00</x:v>
      </x:c>
    </x:row>
    <x:row r="106" ht="15" hidden="0" customHeight="1">
      <x:c r="A106" s="3" t="n">
        <x:v>2</x:v>
      </x:c>
      <x:c r="B106" s="3" t="n">
        <x:v>39</x:v>
      </x:c>
      <x:c r="C106" s="3" t="str">
        <x:v>        Purchase (Exempt)                                                                                                                      34,90,200.00</x:v>
      </x:c>
    </x:row>
    <x:row r="107" ht="15" hidden="0" customHeight="1">
      <x:c r="A107" s="3" t="n">
        <x:v>2</x:v>
      </x:c>
      <x:c r="B107" s="3" t="n">
        <x:v>40</x:v>
      </x:c>
      <x:c r="C107" s="3" t="str">
        <x:v>                          Maize                                       19,390.000 KGS 180.00/KGS 34,90,200.00</x:v>
      </x:c>
    </x:row>
    <x:row r="108" ht="15" hidden="0" customHeight="1">
      <x:c r="A108" s="3" t="n">
        <x:v>2</x:v>
      </x:c>
      <x:c r="B108" s="3" t="n">
        <x:v>41</x:v>
      </x:c>
      <x:c r="C108" s="3" t="str">
        <x:v>            Being 1 lot of 353 bgs received.</x:v>
      </x:c>
    </x:row>
    <x:row r="109" ht="15" hidden="0" customHeight="1">
      <x:c r="A109" s="3" t="n">
        <x:v>2</x:v>
      </x:c>
      <x:c r="B109" s="3" t="n">
        <x:v>42</x:v>
      </x:c>
      <x:c r="C109" s="3" t="str"/>
    </x:row>
    <x:row r="110" ht="15" hidden="0" customHeight="1">
      <x:c r="A110" s="3" t="n">
        <x:v>2</x:v>
      </x:c>
      <x:c r="B110" s="3" t="n">
        <x:v>43</x:v>
      </x:c>
      <x:c r="C110" s="3" t="str">
        <x:v>14-Mar-26 Victory Marvel Seeds                                                                                  Purchase         16                           2,58,400.00</x:v>
      </x:c>
    </x:row>
    <x:row r="111" ht="15" hidden="0" customHeight="1">
      <x:c r="A111" s="3" t="n">
        <x:v>2</x:v>
      </x:c>
      <x:c r="B111" s="3" t="n">
        <x:v>44</x:v>
      </x:c>
      <x:c r="C111" s="3" t="str">
        <x:v>                      New Ref 18                                             2,58,400.00 Cr</x:v>
      </x:c>
    </x:row>
    <x:row r="112" ht="15" hidden="0" customHeight="1">
      <x:c r="A112" s="3" t="n">
        <x:v>2</x:v>
      </x:c>
      <x:c r="B112" s="3" t="n">
        <x:v>45</x:v>
      </x:c>
      <x:c r="C112" s="3" t="str">
        <x:v>        Purchase (Exempt)                                                                                                                      2,58,400.00</x:v>
      </x:c>
    </x:row>
    <x:row r="113" ht="15" hidden="0" customHeight="1">
      <x:c r="A113" s="3" t="n">
        <x:v>2</x:v>
      </x:c>
      <x:c r="B113" s="3" t="n">
        <x:v>46</x:v>
      </x:c>
      <x:c r="C113" s="3" t="str">
        <x:v>                                 Maize Hy.Sultan-8199 (1kg*40 Pc)     1,200.000 KGS 85.00/KGS   1,02,000.00</x:v>
      </x:c>
    </x:row>
    <x:row r="114" ht="15" hidden="0" customHeight="1">
      <x:c r="A114" s="3" t="n">
        <x:v>2</x:v>
      </x:c>
      <x:c r="B114" s="3" t="n">
        <x:v>47</x:v>
      </x:c>
      <x:c r="C114" s="3" t="str">
        <x:v>                                 Maize Hy. Sultan-8199 (4kg*10 Pc)    800.000 KGS 85.00/KGS      68,000.00</x:v>
      </x:c>
    </x:row>
    <x:row r="115" ht="15" hidden="0" customHeight="1">
      <x:c r="A115" s="3" t="n">
        <x:v>2</x:v>
      </x:c>
      <x:c r="B115" s="3" t="n">
        <x:v>48</x:v>
      </x:c>
      <x:c r="C115" s="3" t="str">
        <x:v>                                 Maize Hy. Sultan Plus (1 Kg*40 Pc)   520.000 KGS 85.00/KGS      44,200.00</x:v>
      </x:c>
    </x:row>
    <x:row r="116" ht="15" hidden="0" customHeight="1">
      <x:c r="A116" s="3" t="n">
        <x:v>2</x:v>
      </x:c>
      <x:c r="B116" s="3" t="n">
        <x:v>49</x:v>
      </x:c>
      <x:c r="C116" s="3" t="str">
        <x:v>                         Maize Hy.Sultan Plus (4 Kg*10 Pc)            520.000 KGS 85.00/KGS      44,200.00</x:v>
      </x:c>
    </x:row>
    <x:row r="117" ht="15" hidden="0" customHeight="1">
      <x:c r="A117" s="3" t="n">
        <x:v>2</x:v>
      </x:c>
      <x:c r="B117" s="3" t="n">
        <x:v>50</x:v>
      </x:c>
      <x:c r="C117" s="3" t="str">
        <x:v>            Being invoice no.</x:v>
      </x:c>
    </x:row>
    <x:row r="118" ht="15" hidden="0" customHeight="1">
      <x:c r="A118" s="3" t="n">
        <x:v>2</x:v>
      </x:c>
      <x:c r="B118" s="3" t="n">
        <x:v>51</x:v>
      </x:c>
      <x:c r="C118" s="3" t="str"/>
    </x:row>
    <x:row r="119" ht="15" hidden="0" customHeight="1">
      <x:c r="A119" s="3" t="n">
        <x:v>2</x:v>
      </x:c>
      <x:c r="B119" s="3" t="n">
        <x:v>52</x:v>
      </x:c>
      <x:c r="C119" s="3" t="str">
        <x:v>                                                                                                                                      Total:                  1,21,46,428.00</x:v>
      </x:c>
    </x:row>
  </x:sheetData>
  <x:pageMargins left="0.7" right="0.7" top="0.75" bottom="0.75" header="0.3" footer="0.3"/>
  <x:tableParts count="1">
    <x:tablePart xmlns:r="http://schemas.openxmlformats.org/officeDocument/2006/relationships" r:id="R8beef9c9a0e0453a"/>
  </x:tableParts>
</x:worksheet>
</file>